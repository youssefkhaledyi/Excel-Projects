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Joe\Desktop\"/>
    </mc:Choice>
  </mc:AlternateContent>
  <xr:revisionPtr revIDLastSave="0" documentId="13_ncr:1_{0B1A239E-80D9-4459-A552-1428C36E9629}" xr6:coauthVersionLast="47" xr6:coauthVersionMax="47" xr10:uidLastSave="{00000000-0000-0000-0000-000000000000}"/>
  <bookViews>
    <workbookView xWindow="-108" yWindow="-108" windowWidth="23256" windowHeight="13176" activeTab="2" xr2:uid="{634E3730-BF16-47B4-A809-8F4C4A3F01A5}"/>
  </bookViews>
  <sheets>
    <sheet name="Pivot" sheetId="1" r:id="rId1"/>
    <sheet name="Report" sheetId="3" r:id="rId2"/>
    <sheet name="Dashboard" sheetId="2" r:id="rId3"/>
  </sheets>
  <definedNames>
    <definedName name="Slicer_Country">#N/A</definedName>
    <definedName name="Slicer_Year">#N/A</definedName>
    <definedName name="Slicer_Year1">#N/A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10" r:id="rId13"/>
    <pivotCache cacheId="21" r:id="rId14"/>
  </pivotCaches>
  <extLst>
    <ext xmlns:x14="http://schemas.microsoft.com/office/spreadsheetml/2009/9/main" uri="{876F7934-8845-4945-9796-88D515C7AA90}">
      <x14:pivotCaches>
        <pivotCache cacheId="11" r:id="rId15"/>
        <pivotCache cacheId="12"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ta_0e181d78-4205-4a31-9040-1e343bd46f19" name="Sales Data" connection="Query - Sales Data"/>
          <x15:modelTable id="A_11f86f2c-ce7d-4796-a727-bde8e44b4a25" name="A" connection="Query - Measures"/>
          <x15:modelTable id="Calendar" name="Calendar" connection="Connection"/>
        </x15:modelTables>
        <x15:modelRelationships>
          <x15:modelRelationship fromTable="Sales Data" fromColumn="Order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 r="B8" i="1"/>
  <c r="A8" i="1"/>
  <c r="D56" i="1"/>
  <c r="C8" i="1"/>
  <c r="D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8D8AF0-CA6F-4BB0-886C-CE593555D1FA}" name="Connection" type="104" refreshedVersion="0" background="1">
    <extLst>
      <ext xmlns:x15="http://schemas.microsoft.com/office/spreadsheetml/2010/11/main" uri="{DE250136-89BD-433C-8126-D09CA5730AF9}">
        <x15:connection id="Calendar"/>
      </ext>
    </extLst>
  </connection>
  <connection id="2" xr16:uid="{01562F11-A6D9-4464-959F-2C9568A3E02C}" name="Query - Measures" description="Connection to the 'Measures' query in the workbook." type="100" refreshedVersion="8" minRefreshableVersion="5">
    <extLst>
      <ext xmlns:x15="http://schemas.microsoft.com/office/spreadsheetml/2010/11/main" uri="{DE250136-89BD-433C-8126-D09CA5730AF9}">
        <x15:connection id="a7b806dd-8d8c-4385-89c7-2d02dc1cce25"/>
      </ext>
    </extLst>
  </connection>
  <connection id="3" xr16:uid="{51499A12-96DE-4E26-8D59-B0290579C84E}" name="Query - Sales Data" description="Connection to the 'Sales Data' query in the workbook." type="100" refreshedVersion="8" minRefreshableVersion="5">
    <extLst>
      <ext xmlns:x15="http://schemas.microsoft.com/office/spreadsheetml/2010/11/main" uri="{DE250136-89BD-433C-8126-D09CA5730AF9}">
        <x15:connection id="8e28a3b5-4279-4ce4-a985-0a5a8eea3ee5">
          <x15:oledbPr connection="Provider=Microsoft.Mashup.OleDb.1;Data Source=$Workbook$;Location=&quot;Sales Data&quot;;Extended Properties=&quot;&quot;">
            <x15:dbTables>
              <x15:dbTable name="Sales Data"/>
            </x15:dbTables>
          </x15:oledbPr>
        </x15:connection>
      </ext>
    </extLst>
  </connection>
  <connection id="4" xr16:uid="{73471274-0F82-43CE-AC66-D241F6574A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<sst xmlns="http://schemas.openxmlformats.org/spreadsheetml/2006/main" count="196" uniqueCount="75">
  <si>
    <t>Total Revenue</t>
  </si>
  <si>
    <t>Row Labels</t>
  </si>
  <si>
    <t>Grand Total</t>
  </si>
  <si>
    <t>Apr</t>
  </si>
  <si>
    <t>Aug</t>
  </si>
  <si>
    <t>Dec</t>
  </si>
  <si>
    <t>Feb</t>
  </si>
  <si>
    <t>Jan</t>
  </si>
  <si>
    <t>Jul</t>
  </si>
  <si>
    <t>Jun</t>
  </si>
  <si>
    <t>Mar</t>
  </si>
  <si>
    <t>May</t>
  </si>
  <si>
    <t>Nov</t>
  </si>
  <si>
    <t>Oct</t>
  </si>
  <si>
    <t>Sep</t>
  </si>
  <si>
    <t>Q1</t>
  </si>
  <si>
    <t>Q2</t>
  </si>
  <si>
    <t>Q3</t>
  </si>
  <si>
    <t>Q4</t>
  </si>
  <si>
    <t>Classic Cars</t>
  </si>
  <si>
    <t>Motorcycles</t>
  </si>
  <si>
    <t>Planes</t>
  </si>
  <si>
    <t>Ships</t>
  </si>
  <si>
    <t>Trains</t>
  </si>
  <si>
    <t>Trucks and Buses</t>
  </si>
  <si>
    <t>Vintage Cars</t>
  </si>
  <si>
    <t>Rev LQ</t>
  </si>
  <si>
    <t>Revenue</t>
  </si>
  <si>
    <t>Var vs LQ</t>
  </si>
  <si>
    <t>QoQ %</t>
  </si>
  <si>
    <t>Australia</t>
  </si>
  <si>
    <t>Austria</t>
  </si>
  <si>
    <t>Belgium</t>
  </si>
  <si>
    <t>Canada</t>
  </si>
  <si>
    <t>Denmark</t>
  </si>
  <si>
    <t>Finland</t>
  </si>
  <si>
    <t>France</t>
  </si>
  <si>
    <t>Germany</t>
  </si>
  <si>
    <t>Ireland</t>
  </si>
  <si>
    <t>Italy</t>
  </si>
  <si>
    <t>Japan</t>
  </si>
  <si>
    <t>Norway</t>
  </si>
  <si>
    <t>Philippines</t>
  </si>
  <si>
    <t>Singapore</t>
  </si>
  <si>
    <t>Spain</t>
  </si>
  <si>
    <t>Sweden</t>
  </si>
  <si>
    <t>Switzerland</t>
  </si>
  <si>
    <t>UK</t>
  </si>
  <si>
    <t>USA</t>
  </si>
  <si>
    <t>Kpi lessthan20000</t>
  </si>
  <si>
    <t>Cancelled</t>
  </si>
  <si>
    <t>Disputed</t>
  </si>
  <si>
    <t>In Process</t>
  </si>
  <si>
    <t>On Hold</t>
  </si>
  <si>
    <t>Resolved</t>
  </si>
  <si>
    <t>Shipped</t>
  </si>
  <si>
    <t>Australian Collectors, Co</t>
  </si>
  <si>
    <t>AV Stores, Co</t>
  </si>
  <si>
    <t>Dragon Souveniers, Ltd</t>
  </si>
  <si>
    <t>Euro Shopping Channel</t>
  </si>
  <si>
    <t>La Rochelle Gifts</t>
  </si>
  <si>
    <t>Land of Toys Inc</t>
  </si>
  <si>
    <t>Mini Gifts Distributors Ltd</t>
  </si>
  <si>
    <t>Muscle Machine Inc</t>
  </si>
  <si>
    <t>Souveniers And Things Co</t>
  </si>
  <si>
    <t>The Sharp Gifts Warehouse</t>
  </si>
  <si>
    <t>Customer Name</t>
  </si>
  <si>
    <t>Top 10 Cust. By Rev.</t>
  </si>
  <si>
    <t>% Of Top 10</t>
  </si>
  <si>
    <t>Qty Sold</t>
  </si>
  <si>
    <t>Year</t>
  </si>
  <si>
    <t>KPI</t>
  </si>
  <si>
    <t># of Order</t>
  </si>
  <si>
    <t>Avg Qty Per Order</t>
  </si>
  <si>
    <t>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</si>
</sst>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0"/>
    <numFmt numFmtId="165" formatCode="0%;\-0%;0%"/>
    <numFmt numFmtId="166" formatCode="_(&quot;$&quot;* #,##0_);_(&quot;$&quot;* \(#,##0\);_(&quot;$&quot;* &quot;-&quot;??_);_(@_)"/>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0"/>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5F5F5"/>
        <bgColor indexed="64"/>
      </patternFill>
    </fill>
    <fill>
      <patternFill patternType="solid">
        <fgColor rgb="FF252A34"/>
        <bgColor indexed="64"/>
      </patternFill>
    </fill>
  </fills>
  <borders count="2">
    <border>
      <left/>
      <right/>
      <top/>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9">
    <xf numFmtId="0" fontId="0" fillId="0" borderId="0" xfId="0"/>
    <xf numFmtId="164" fontId="0" fillId="0" borderId="0" xfId="0" applyNumberFormat="1"/>
    <xf numFmtId="0" fontId="2" fillId="2"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5" fontId="0" fillId="0" borderId="0" xfId="0" applyNumberFormat="1"/>
    <xf numFmtId="0" fontId="0" fillId="3" borderId="0" xfId="0" applyFill="1"/>
    <xf numFmtId="9" fontId="0" fillId="0" borderId="0" xfId="1" applyFont="1"/>
    <xf numFmtId="10" fontId="0" fillId="0" borderId="0" xfId="0" applyNumberFormat="1"/>
    <xf numFmtId="166" fontId="0" fillId="0" borderId="0" xfId="2" applyNumberFormat="1" applyFont="1"/>
    <xf numFmtId="1" fontId="0" fillId="0" borderId="0" xfId="0" applyNumberFormat="1"/>
    <xf numFmtId="0" fontId="0" fillId="0" borderId="0" xfId="0" applyAlignment="1">
      <alignment horizontal="center" vertical="center"/>
    </xf>
    <xf numFmtId="3" fontId="0" fillId="0" borderId="0" xfId="0" applyNumberFormat="1"/>
    <xf numFmtId="0" fontId="3" fillId="0" borderId="0" xfId="0" applyFont="1"/>
    <xf numFmtId="0" fontId="3" fillId="4" borderId="0" xfId="0" applyFont="1" applyFill="1" applyAlignment="1">
      <alignment horizontal="center"/>
    </xf>
    <xf numFmtId="0" fontId="0" fillId="0" borderId="0" xfId="0" applyFill="1" applyBorder="1"/>
    <xf numFmtId="0" fontId="0" fillId="0" borderId="0" xfId="0" applyNumberFormat="1"/>
  </cellXfs>
  <cellStyles count="3">
    <cellStyle name="Currency" xfId="2" builtinId="4"/>
    <cellStyle name="Normal" xfId="0" builtinId="0"/>
    <cellStyle name="Percent" xfId="1" builtinId="5"/>
  </cellStyles>
  <dxfs count="9">
    <dxf>
      <alignment vertical="center"/>
    </dxf>
    <dxf>
      <alignment horizontal="center"/>
    </dxf>
    <dxf>
      <alignment horizontal="center"/>
    </dxf>
    <dxf>
      <alignment vertical="center"/>
    </dxf>
    <dxf>
      <numFmt numFmtId="3" formatCode="#,##0"/>
    </dxf>
    <dxf>
      <alignment vertical="center"/>
    </dxf>
    <dxf>
      <alignment horizontal="center"/>
    </dxf>
    <dxf>
      <font>
        <b/>
        <i val="0"/>
        <color theme="0" tint="-4.9989318521683403E-2"/>
      </font>
      <border>
        <bottom style="thin">
          <color theme="6"/>
        </bottom>
        <vertical/>
        <horizontal/>
      </border>
    </dxf>
    <dxf>
      <font>
        <color theme="0"/>
      </font>
      <fill>
        <patternFill>
          <fgColor rgb="FF00A388"/>
          <bgColor rgb="FF252A34"/>
        </patternFill>
      </fill>
      <border>
        <left style="thin">
          <color theme="6"/>
        </left>
        <right style="thin">
          <color theme="6"/>
        </right>
        <top style="thin">
          <color theme="6"/>
        </top>
        <bottom style="thin">
          <color theme="6"/>
        </bottom>
        <vertical/>
        <horizontal/>
      </border>
    </dxf>
  </dxfs>
  <tableStyles count="1" defaultTableStyle="TableStyleMedium2" defaultPivotStyle="PivotStyleLight16">
    <tableStyle name="SlicerStyleLight3 2" pivot="0" table="0" count="10" xr9:uid="{419F9FBB-0D9E-422C-8CCE-902CC6919892}">
      <tableStyleElement type="wholeTable" dxfId="8"/>
      <tableStyleElement type="headerRow" dxfId="7"/>
    </tableStyle>
  </tableStyles>
  <colors>
    <mruColors>
      <color rgb="FFFF8989"/>
      <color rgb="FF252A34"/>
      <color rgb="FF00A388"/>
      <color rgb="FF41454E"/>
      <color rgb="FFB4B4B4"/>
      <color rgb="FFF5F5F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252A34"/>
              <bgColor theme="6" tint="0.79992065187536243"/>
            </patternFill>
          </fill>
          <border>
            <left style="thin">
              <color rgb="FFCCCCCC"/>
            </left>
            <right style="thin">
              <color rgb="FFCCCCCC"/>
            </right>
            <top style="thin">
              <color rgb="FFCCCCCC"/>
            </top>
            <bottom style="thin">
              <color rgb="FFCCCCCC"/>
            </bottom>
            <vertical/>
            <horizontal/>
          </border>
        </dxf>
        <dxf>
          <font>
            <color rgb="FF000000"/>
          </font>
          <fill>
            <patternFill>
              <fgColor theme="1" tint="0.14990691854609822"/>
              <bgColor theme="0"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4.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5" Type="http://schemas.openxmlformats.org/officeDocument/2006/relationships/pivotCacheDefinition" Target="pivotCache/pivotCacheDefinition2.xml"/><Relationship Id="rId19" Type="http://schemas.microsoft.com/office/2007/relationships/slicerCache" Target="slicerCaches/slicerCache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5.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7.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[Dashboard.xlsx]Pivot!Rev By Country</c:name>
    <c:fmtId val="3"/>
  </c:pivotSource>
  <c:chart>
    <c:title>
      <c:tx>
        <c:rich>
          <a:bodyPr rot="0" spcFirstLastPara="1" vertOverflow="ellipsis" vert="horz" wrap="square" anchor="ctr" anchorCtr="1"/>
          <a:lstStyle/>
          <a:p>
            <a:pPr marL="0" indent="0" algn="ctr" rtl="0">
              <a:defRPr lang="en-US" sz="1100" b="1" i="0" u="none" strike="noStrike" kern="1200" spc="0" baseline="0">
                <a:solidFill>
                  <a:schemeClr val="dk1"/>
                </a:solidFill>
                <a:effectLst/>
                <a:latin typeface="+mn-lt"/>
                <a:ea typeface="+mn-ea"/>
                <a:cs typeface="+mn-cs"/>
              </a:defRPr>
            </a:pPr>
            <a:r>
              <a:rPr lang="en-US" sz="1100" b="1" i="0" baseline="0">
                <a:solidFill>
                  <a:schemeClr val="dk1"/>
                </a:solidFill>
                <a:effectLst/>
                <a:latin typeface="+mn-lt"/>
                <a:ea typeface="+mn-ea"/>
                <a:cs typeface="+mn-cs"/>
              </a:rPr>
              <a:t>Rev By Country</a:t>
            </a:r>
          </a:p>
        </c:rich>
      </c:tx>
      <c:overlay val="0"/>
      <c:spPr>
        <a:solidFill>
          <a:sysClr val="window" lastClr="FFFFFF"/>
        </a:solidFill>
        <a:ln>
          <a:noFill/>
        </a:ln>
        <a:effectLst/>
      </c:spPr>
      <c:txPr>
        <a:bodyPr rot="0" spcFirstLastPara="1" vertOverflow="ellipsis" vert="horz" wrap="square" anchor="ctr" anchorCtr="1"/>
        <a:lstStyle/>
        <a:p>
          <a:pPr marL="0" indent="0" algn="ctr" rtl="0">
            <a:defRPr lang="en-US" sz="1100" b="1" i="0" u="none" strike="noStrike" kern="1200" spc="0" baseline="0">
              <a:solidFill>
                <a:schemeClr val="dk1"/>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A3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326020910278"/>
          <c:y val="5.48519423518503E-2"/>
          <c:w val="0.69315915321259014"/>
          <c:h val="0.92709925819046635"/>
        </c:manualLayout>
      </c:layout>
      <c:barChart>
        <c:barDir val="bar"/>
        <c:grouping val="clustered"/>
        <c:varyColors val="0"/>
        <c:ser>
          <c:idx val="0"/>
          <c:order val="0"/>
          <c:tx>
            <c:strRef>
              <c:f>Pivot!$B$31</c:f>
              <c:strCache>
                <c:ptCount val="1"/>
                <c:pt idx="0">
                  <c:v>Revenue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Pivot!$A$32:$A$51</c:f>
              <c:strCache>
                <c:ptCount val="19"/>
                <c:pt idx="0">
                  <c:v>Ireland</c:v>
                </c:pt>
                <c:pt idx="1">
                  <c:v>Philippines</c:v>
                </c:pt>
                <c:pt idx="2">
                  <c:v>Switzerland</c:v>
                </c:pt>
                <c:pt idx="3">
                  <c:v>Belgium</c:v>
                </c:pt>
                <c:pt idx="4">
                  <c:v>Japan</c:v>
                </c:pt>
                <c:pt idx="5">
                  <c:v>Austria</c:v>
                </c:pt>
                <c:pt idx="6">
                  <c:v>Sweden</c:v>
                </c:pt>
                <c:pt idx="7">
                  <c:v>Germany</c:v>
                </c:pt>
                <c:pt idx="8">
                  <c:v>Denmark</c:v>
                </c:pt>
                <c:pt idx="9">
                  <c:v>Canada</c:v>
                </c:pt>
                <c:pt idx="10">
                  <c:v>Singapore</c:v>
                </c:pt>
                <c:pt idx="11">
                  <c:v>Norway</c:v>
                </c:pt>
                <c:pt idx="12">
                  <c:v>Finland</c:v>
                </c:pt>
                <c:pt idx="13">
                  <c:v>Italy</c:v>
                </c:pt>
                <c:pt idx="14">
                  <c:v>UK</c:v>
                </c:pt>
                <c:pt idx="15">
                  <c:v>Australia</c:v>
                </c:pt>
                <c:pt idx="16">
                  <c:v>France</c:v>
                </c:pt>
                <c:pt idx="17">
                  <c:v>Spain</c:v>
                </c:pt>
                <c:pt idx="18">
                  <c:v>USA</c:v>
                </c:pt>
              </c:strCache>
            </c:strRef>
          </c:cat>
          <c:val>
            <c:numRef>
              <c:f>Pivot!$B$32:$B$51</c:f>
              <c:numCache>
                <c:formatCode>\$#,##0;\(\$#,##0\);\$#,##0</c:formatCode>
                <c:ptCount val="19"/>
                <c:pt idx="0">
                  <c:v>43237.24</c:v>
                </c:pt>
                <c:pt idx="1">
                  <c:v>80291.17</c:v>
                </c:pt>
                <c:pt idx="2">
                  <c:v>93344.91</c:v>
                </c:pt>
                <c:pt idx="3">
                  <c:v>94528.88</c:v>
                </c:pt>
                <c:pt idx="4">
                  <c:v>153076.69</c:v>
                </c:pt>
                <c:pt idx="5">
                  <c:v>172793.04999999996</c:v>
                </c:pt>
                <c:pt idx="6">
                  <c:v>174264.1</c:v>
                </c:pt>
                <c:pt idx="7">
                  <c:v>178689.08</c:v>
                </c:pt>
                <c:pt idx="8">
                  <c:v>192747.63000000003</c:v>
                </c:pt>
                <c:pt idx="9">
                  <c:v>193504.33999999997</c:v>
                </c:pt>
                <c:pt idx="10">
                  <c:v>227985.50000000003</c:v>
                </c:pt>
                <c:pt idx="11">
                  <c:v>246115.8000000001</c:v>
                </c:pt>
                <c:pt idx="12">
                  <c:v>268714.70000000007</c:v>
                </c:pt>
                <c:pt idx="13">
                  <c:v>309402.87000000005</c:v>
                </c:pt>
                <c:pt idx="14">
                  <c:v>413203.34</c:v>
                </c:pt>
                <c:pt idx="15">
                  <c:v>521598.46</c:v>
                </c:pt>
                <c:pt idx="16">
                  <c:v>919257.85</c:v>
                </c:pt>
                <c:pt idx="17">
                  <c:v>1021705.9700000002</c:v>
                </c:pt>
                <c:pt idx="18">
                  <c:v>2986425.21</c:v>
                </c:pt>
              </c:numCache>
            </c:numRef>
          </c:val>
          <c:extLst>
            <c:ext xmlns:c16="http://schemas.microsoft.com/office/drawing/2014/chart" uri="{C3380CC4-5D6E-409C-BE32-E72D297353CC}">
              <c16:uniqueId val="{00000000-8A40-40C8-A101-8E7FDE009539}"/>
            </c:ext>
          </c:extLst>
        </c:ser>
        <c:ser>
          <c:idx val="1"/>
          <c:order val="1"/>
          <c:tx>
            <c:strRef>
              <c:f>Pivot!$C$31</c:f>
              <c:strCache>
                <c:ptCount val="1"/>
                <c:pt idx="0">
                  <c:v>Kpi lessthan20000</c:v>
                </c:pt>
              </c:strCache>
            </c:strRef>
          </c:tx>
          <c:spPr>
            <a:solidFill>
              <a:srgbClr val="00A3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Pivot!$A$32:$A$51</c:f>
              <c:strCache>
                <c:ptCount val="19"/>
                <c:pt idx="0">
                  <c:v>Ireland</c:v>
                </c:pt>
                <c:pt idx="1">
                  <c:v>Philippines</c:v>
                </c:pt>
                <c:pt idx="2">
                  <c:v>Switzerland</c:v>
                </c:pt>
                <c:pt idx="3">
                  <c:v>Belgium</c:v>
                </c:pt>
                <c:pt idx="4">
                  <c:v>Japan</c:v>
                </c:pt>
                <c:pt idx="5">
                  <c:v>Austria</c:v>
                </c:pt>
                <c:pt idx="6">
                  <c:v>Sweden</c:v>
                </c:pt>
                <c:pt idx="7">
                  <c:v>Germany</c:v>
                </c:pt>
                <c:pt idx="8">
                  <c:v>Denmark</c:v>
                </c:pt>
                <c:pt idx="9">
                  <c:v>Canada</c:v>
                </c:pt>
                <c:pt idx="10">
                  <c:v>Singapore</c:v>
                </c:pt>
                <c:pt idx="11">
                  <c:v>Norway</c:v>
                </c:pt>
                <c:pt idx="12">
                  <c:v>Finland</c:v>
                </c:pt>
                <c:pt idx="13">
                  <c:v>Italy</c:v>
                </c:pt>
                <c:pt idx="14">
                  <c:v>UK</c:v>
                </c:pt>
                <c:pt idx="15">
                  <c:v>Australia</c:v>
                </c:pt>
                <c:pt idx="16">
                  <c:v>France</c:v>
                </c:pt>
                <c:pt idx="17">
                  <c:v>Spain</c:v>
                </c:pt>
                <c:pt idx="18">
                  <c:v>USA</c:v>
                </c:pt>
              </c:strCache>
            </c:strRef>
          </c:cat>
          <c:val>
            <c:numRef>
              <c:f>Pivot!$C$32:$C$51</c:f>
              <c:numCache>
                <c:formatCode>\$#,##0;\(\$#,##0\);\$#,##0</c:formatCode>
                <c:ptCount val="19"/>
                <c:pt idx="10">
                  <c:v>227985.50000000003</c:v>
                </c:pt>
                <c:pt idx="11">
                  <c:v>246115.8000000001</c:v>
                </c:pt>
                <c:pt idx="12">
                  <c:v>268714.70000000007</c:v>
                </c:pt>
                <c:pt idx="13">
                  <c:v>309402.86999999982</c:v>
                </c:pt>
                <c:pt idx="14">
                  <c:v>413203.34</c:v>
                </c:pt>
                <c:pt idx="15">
                  <c:v>521598.46</c:v>
                </c:pt>
                <c:pt idx="16">
                  <c:v>919257.85</c:v>
                </c:pt>
                <c:pt idx="17">
                  <c:v>1021705.9700000002</c:v>
                </c:pt>
                <c:pt idx="18">
                  <c:v>2986425.21</c:v>
                </c:pt>
              </c:numCache>
            </c:numRef>
          </c:val>
          <c:extLst>
            <c:ext xmlns:c16="http://schemas.microsoft.com/office/drawing/2014/chart" uri="{C3380CC4-5D6E-409C-BE32-E72D297353CC}">
              <c16:uniqueId val="{00000003-8A40-40C8-A101-8E7FDE009539}"/>
            </c:ext>
          </c:extLst>
        </c:ser>
        <c:dLbls>
          <c:dLblPos val="outEnd"/>
          <c:showLegendKey val="0"/>
          <c:showVal val="1"/>
          <c:showCatName val="0"/>
          <c:showSerName val="0"/>
          <c:showPercent val="0"/>
          <c:showBubbleSize val="0"/>
        </c:dLbls>
        <c:gapWidth val="182"/>
        <c:overlap val="100"/>
        <c:axId val="1674505728"/>
        <c:axId val="1674502848"/>
      </c:barChart>
      <c:catAx>
        <c:axId val="167450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tx1">
                    <a:lumMod val="85000"/>
                    <a:lumOff val="15000"/>
                  </a:schemeClr>
                </a:solidFill>
                <a:latin typeface="+mj-lt"/>
                <a:ea typeface="Tahoma" panose="020B0604030504040204" pitchFamily="34" charset="0"/>
                <a:cs typeface="Tahoma" panose="020B0604030504040204" pitchFamily="34" charset="0"/>
              </a:defRPr>
            </a:pPr>
            <a:endParaRPr lang="en-US"/>
          </a:p>
        </c:txPr>
        <c:crossAx val="1674502848"/>
        <c:crosses val="autoZero"/>
        <c:auto val="1"/>
        <c:lblAlgn val="ctr"/>
        <c:lblOffset val="100"/>
        <c:noMultiLvlLbl val="0"/>
      </c:catAx>
      <c:valAx>
        <c:axId val="1674502848"/>
        <c:scaling>
          <c:orientation val="minMax"/>
        </c:scaling>
        <c:delete val="1"/>
        <c:axPos val="b"/>
        <c:numFmt formatCode="\$#,##0;\(\$#,##0\);\$#,##0" sourceLinked="1"/>
        <c:majorTickMark val="none"/>
        <c:minorTickMark val="none"/>
        <c:tickLblPos val="nextTo"/>
        <c:crossAx val="167450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[Dashboard.xlsx]Pivot!Top 10 Customer</c:name>
    <c:fmtId val="11"/>
  </c:pivotSource>
  <c:chart>
    <c:autoTitleDeleted val="1"/>
    <c:pivotFmts>
      <c:pivotFmt>
        <c:idx val="0"/>
        <c:spPr>
          <a:solidFill>
            <a:srgbClr val="00A388"/>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A388"/>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A388"/>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Pivot!$B$55</c:f>
              <c:strCache>
                <c:ptCount val="1"/>
                <c:pt idx="0">
                  <c:v>Total</c:v>
                </c:pt>
              </c:strCache>
            </c:strRef>
          </c:tx>
          <c:spPr>
            <a:solidFill>
              <a:srgbClr val="00A388"/>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Pivot!$A$56:$A$66</c:f>
              <c:strCache>
                <c:ptCount val="10"/>
                <c:pt idx="0">
                  <c:v>Dragon Souveniers, Ltd</c:v>
                </c:pt>
                <c:pt idx="1">
                  <c:v>Souveniers And Things Co</c:v>
                </c:pt>
                <c:pt idx="2">
                  <c:v>The Sharp Gifts Warehouse</c:v>
                </c:pt>
                <c:pt idx="3">
                  <c:v>AV Stores, Co</c:v>
                </c:pt>
                <c:pt idx="4">
                  <c:v>Land of Toys Inc</c:v>
                </c:pt>
                <c:pt idx="5">
                  <c:v>Muscle Machine Inc</c:v>
                </c:pt>
                <c:pt idx="6">
                  <c:v>La Rochelle Gifts</c:v>
                </c:pt>
                <c:pt idx="7">
                  <c:v>Australian Collectors, Co</c:v>
                </c:pt>
                <c:pt idx="8">
                  <c:v>Mini Gifts Distributors Ltd</c:v>
                </c:pt>
                <c:pt idx="9">
                  <c:v>Euro Shopping Channel</c:v>
                </c:pt>
              </c:strCache>
            </c:strRef>
          </c:cat>
          <c:val>
            <c:numRef>
              <c:f>Pivot!$B$56:$B$66</c:f>
              <c:numCache>
                <c:formatCode>\$#,##0;\(\$#,##0\);\$#,##0</c:formatCode>
                <c:ptCount val="10"/>
                <c:pt idx="0">
                  <c:v>131279.95000000004</c:v>
                </c:pt>
                <c:pt idx="1">
                  <c:v>133223.38</c:v>
                </c:pt>
                <c:pt idx="2">
                  <c:v>136383.03999999995</c:v>
                </c:pt>
                <c:pt idx="3">
                  <c:v>136873.24999999994</c:v>
                </c:pt>
                <c:pt idx="4">
                  <c:v>138798.17000000001</c:v>
                </c:pt>
                <c:pt idx="5">
                  <c:v>151782.03999999998</c:v>
                </c:pt>
                <c:pt idx="6">
                  <c:v>153909.82000000004</c:v>
                </c:pt>
                <c:pt idx="7">
                  <c:v>164575.87000000008</c:v>
                </c:pt>
                <c:pt idx="8">
                  <c:v>530587.18999999994</c:v>
                </c:pt>
                <c:pt idx="9">
                  <c:v>766195.04999999981</c:v>
                </c:pt>
              </c:numCache>
            </c:numRef>
          </c:val>
          <c:extLst>
            <c:ext xmlns:c16="http://schemas.microsoft.com/office/drawing/2014/chart" uri="{C3380CC4-5D6E-409C-BE32-E72D297353CC}">
              <c16:uniqueId val="{00000000-3811-48F2-A564-E1C141AC8F09}"/>
            </c:ext>
          </c:extLst>
        </c:ser>
        <c:dLbls>
          <c:dLblPos val="outEnd"/>
          <c:showLegendKey val="0"/>
          <c:showVal val="1"/>
          <c:showCatName val="0"/>
          <c:showSerName val="0"/>
          <c:showPercent val="0"/>
          <c:showBubbleSize val="0"/>
        </c:dLbls>
        <c:gapWidth val="182"/>
        <c:axId val="99113551"/>
        <c:axId val="99114511"/>
      </c:barChart>
      <c:catAx>
        <c:axId val="99113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99114511"/>
        <c:crosses val="autoZero"/>
        <c:auto val="1"/>
        <c:lblAlgn val="ctr"/>
        <c:lblOffset val="100"/>
        <c:noMultiLvlLbl val="0"/>
      </c:catAx>
      <c:valAx>
        <c:axId val="99114511"/>
        <c:scaling>
          <c:orientation val="minMax"/>
        </c:scaling>
        <c:delete val="1"/>
        <c:axPos val="b"/>
        <c:numFmt formatCode="\$#,##0;\(\$#,##0\);\$#,##0" sourceLinked="1"/>
        <c:majorTickMark val="none"/>
        <c:minorTickMark val="none"/>
        <c:tickLblPos val="nextTo"/>
        <c:crossAx val="991135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[Dashboard.xlsx]Pivot!Qty By Status</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00A388"/>
          </a:solidFill>
          <a:ln w="19050">
            <a:solidFill>
              <a:schemeClr val="lt1"/>
            </a:solidFill>
          </a:ln>
          <a:effectLst/>
        </c:spPr>
        <c:dLbl>
          <c:idx val="0"/>
          <c:spPr>
            <a:noFill/>
            <a:ln>
              <a:noFill/>
            </a:ln>
            <a:effectLst/>
          </c:spPr>
          <c:txPr>
            <a:bodyPr rot="0" spcFirstLastPara="1" vertOverflow="ellipsis" vert="horz" wrap="square" lIns="38100" tIns="19050" rIns="38100" bIns="19050" anchor="b" anchorCtr="1">
              <a:spAutoFit/>
            </a:bodyPr>
            <a:lstStyle/>
            <a:p>
              <a:pPr>
                <a:defRPr sz="1800" b="1" i="0" u="none" strike="noStrike" kern="1200" baseline="0">
                  <a:solidFill>
                    <a:srgbClr val="41454E"/>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0000"/>
          </a:solidFill>
          <a:ln w="19050">
            <a:solidFill>
              <a:schemeClr val="lt1"/>
            </a:solidFill>
          </a:ln>
          <a:effectLst/>
        </c:spPr>
        <c:dLbl>
          <c:idx val="0"/>
          <c:layout>
            <c:manualLayout>
              <c:x val="0.10942979002624673"/>
              <c:y val="7.2287974778832087E-2"/>
            </c:manualLayout>
          </c:layout>
          <c:spPr>
            <a:noFill/>
            <a:ln>
              <a:noFill/>
            </a:ln>
            <a:effectLst/>
          </c:spPr>
          <c:txPr>
            <a:bodyPr rot="0" spcFirstLastPara="1" vertOverflow="ellipsis"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6">
              <a:lumMod val="60000"/>
              <a:lumOff val="40000"/>
            </a:schemeClr>
          </a:solidFill>
          <a:ln w="19050">
            <a:solidFill>
              <a:schemeClr val="lt1"/>
            </a:solidFill>
          </a:ln>
          <a:effectLst/>
        </c:spPr>
        <c:dLbl>
          <c:idx val="0"/>
          <c:layout>
            <c:manualLayout>
              <c:x val="-0.15914479440069992"/>
              <c:y val="9.7182123067949839E-3"/>
            </c:manualLayout>
          </c:layout>
          <c:spPr>
            <a:noFill/>
            <a:ln>
              <a:noFill/>
            </a:ln>
            <a:effectLst/>
          </c:spPr>
          <c:txPr>
            <a:bodyPr rot="0" spcFirstLastPara="1" vertOverflow="ellipsis"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6">
              <a:lumMod val="40000"/>
              <a:lumOff val="60000"/>
            </a:schemeClr>
          </a:solidFill>
          <a:ln w="19050">
            <a:solidFill>
              <a:schemeClr val="lt1"/>
            </a:solidFill>
          </a:ln>
          <a:effectLst/>
        </c:spPr>
        <c:dLbl>
          <c:idx val="0"/>
          <c:layout>
            <c:manualLayout>
              <c:x val="-3.6216426071741033E-2"/>
              <c:y val="-8.7399752114319038E-2"/>
            </c:manualLayout>
          </c:layout>
          <c:spPr>
            <a:noFill/>
            <a:ln>
              <a:noFill/>
            </a:ln>
            <a:effectLst/>
          </c:spPr>
          <c:txPr>
            <a:bodyPr rot="0" spcFirstLastPara="1" vertOverflow="ellipsis"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6">
              <a:lumMod val="20000"/>
              <a:lumOff val="80000"/>
            </a:schemeClr>
          </a:solidFill>
          <a:ln w="19050">
            <a:solidFill>
              <a:schemeClr val="lt1"/>
            </a:solidFill>
          </a:ln>
          <a:effectLst/>
        </c:spPr>
        <c:dLbl>
          <c:idx val="0"/>
          <c:layout>
            <c:manualLayout>
              <c:x val="1.7218394575678041E-2"/>
              <c:y val="-0.11745479731700204"/>
            </c:manualLayout>
          </c:layout>
          <c:spPr>
            <a:noFill/>
            <a:ln>
              <a:noFill/>
            </a:ln>
            <a:effectLst/>
          </c:spPr>
          <c:txPr>
            <a:bodyPr rot="0" spcFirstLastPara="1" vertOverflow="ellipsis"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bg1">
              <a:lumMod val="85000"/>
            </a:schemeClr>
          </a:solidFill>
          <a:ln w="19050">
            <a:solidFill>
              <a:schemeClr val="lt1"/>
            </a:solidFill>
          </a:ln>
          <a:effectLst/>
        </c:spPr>
        <c:dLbl>
          <c:idx val="0"/>
          <c:layout>
            <c:manualLayout>
              <c:x val="5.6478346456692911E-2"/>
              <c:y val="-3.061278798483523E-2"/>
            </c:manualLayout>
          </c:layout>
          <c:spPr>
            <a:noFill/>
            <a:ln>
              <a:noFill/>
            </a:ln>
            <a:effectLst/>
          </c:spPr>
          <c:txPr>
            <a:bodyPr rot="0" spcFirstLastPara="1" vertOverflow="ellipsis"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00A388"/>
          </a:solidFill>
          <a:ln w="19050">
            <a:solidFill>
              <a:schemeClr val="lt1"/>
            </a:solidFill>
          </a:ln>
          <a:effectLst/>
        </c:spPr>
        <c:dLbl>
          <c:idx val="0"/>
          <c:spPr>
            <a:noFill/>
            <a:ln>
              <a:noFill/>
            </a:ln>
            <a:effectLst/>
          </c:spPr>
          <c:txPr>
            <a:bodyPr rot="0" spcFirstLastPara="1" vertOverflow="ellipsis" horzOverflow="clip" vert="horz" wrap="square" lIns="38100" tIns="19050" rIns="38100" bIns="19050" anchor="b" anchorCtr="1">
              <a:spAutoFit/>
            </a:bodyPr>
            <a:lstStyle/>
            <a:p>
              <a:pPr>
                <a:defRPr sz="1800" b="1" i="0" u="none" strike="noStrike" kern="1200" baseline="0">
                  <a:solidFill>
                    <a:srgbClr val="41454E"/>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6">
              <a:lumMod val="60000"/>
              <a:lumOff val="40000"/>
            </a:schemeClr>
          </a:solidFill>
          <a:ln w="19050">
            <a:solidFill>
              <a:schemeClr val="lt1"/>
            </a:solidFill>
          </a:ln>
          <a:effectLst/>
        </c:spPr>
        <c:dLbl>
          <c:idx val="0"/>
          <c:layout>
            <c:manualLayout>
              <c:x val="-0.15914479440069992"/>
              <c:y val="9.7182123067949839E-3"/>
            </c:manualLayout>
          </c:layout>
          <c:spPr>
            <a:noFill/>
            <a:ln>
              <a:noFill/>
            </a:ln>
            <a:effectLst/>
          </c:spPr>
          <c:txPr>
            <a:bodyPr rot="0" spcFirstLastPara="1" vertOverflow="ellipsis"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6">
              <a:lumMod val="40000"/>
              <a:lumOff val="60000"/>
            </a:schemeClr>
          </a:solidFill>
          <a:ln w="19050">
            <a:solidFill>
              <a:schemeClr val="lt1"/>
            </a:solidFill>
          </a:ln>
          <a:effectLst/>
        </c:spPr>
        <c:dLbl>
          <c:idx val="0"/>
          <c:layout>
            <c:manualLayout>
              <c:x val="-3.6216426071741033E-2"/>
              <c:y val="-8.7399752114319038E-2"/>
            </c:manualLayout>
          </c:layout>
          <c:spPr>
            <a:noFill/>
            <a:ln>
              <a:noFill/>
            </a:ln>
            <a:effectLst/>
          </c:spPr>
          <c:txPr>
            <a:bodyPr rot="0" spcFirstLastPara="1" vertOverflow="ellipsis"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6">
              <a:lumMod val="20000"/>
              <a:lumOff val="80000"/>
            </a:schemeClr>
          </a:solidFill>
          <a:ln w="19050">
            <a:solidFill>
              <a:schemeClr val="lt1"/>
            </a:solidFill>
          </a:ln>
          <a:effectLst/>
        </c:spPr>
        <c:dLbl>
          <c:idx val="0"/>
          <c:layout>
            <c:manualLayout>
              <c:x val="1.7218394575678041E-2"/>
              <c:y val="-0.11745479731700204"/>
            </c:manualLayout>
          </c:layout>
          <c:spPr>
            <a:noFill/>
            <a:ln>
              <a:noFill/>
            </a:ln>
            <a:effectLst/>
          </c:spPr>
          <c:txPr>
            <a:bodyPr rot="0" spcFirstLastPara="1" vertOverflow="ellipsis"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bg1">
              <a:lumMod val="85000"/>
            </a:schemeClr>
          </a:solidFill>
          <a:ln w="19050">
            <a:solidFill>
              <a:schemeClr val="lt1"/>
            </a:solidFill>
          </a:ln>
          <a:effectLst/>
        </c:spPr>
        <c:dLbl>
          <c:idx val="0"/>
          <c:layout>
            <c:manualLayout>
              <c:x val="5.6478346456692911E-2"/>
              <c:y val="-3.061278798483523E-2"/>
            </c:manualLayout>
          </c:layout>
          <c:spPr>
            <a:noFill/>
            <a:ln>
              <a:noFill/>
            </a:ln>
            <a:effectLst/>
          </c:spPr>
          <c:txPr>
            <a:bodyPr rot="0" spcFirstLastPara="1" vertOverflow="ellipsis"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FF0000"/>
          </a:solidFill>
          <a:ln w="19050">
            <a:solidFill>
              <a:schemeClr val="lt1"/>
            </a:solidFill>
          </a:ln>
          <a:effectLst/>
        </c:spPr>
        <c:dLbl>
          <c:idx val="0"/>
          <c:layout>
            <c:manualLayout>
              <c:x val="0.10942979002624673"/>
              <c:y val="7.2287974778832087E-2"/>
            </c:manualLayout>
          </c:layout>
          <c:spPr>
            <a:noFill/>
            <a:ln>
              <a:noFill/>
            </a:ln>
            <a:effectLst/>
          </c:spPr>
          <c:txPr>
            <a:bodyPr rot="0" spcFirstLastPara="1" vertOverflow="ellipsis"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5"/>
        <c:spPr>
          <a:solidFill>
            <a:srgbClr val="00A388"/>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fld id="{D801EF2C-F820-49CE-AFC5-DDA3CEE5C572}" type="CELLRANGE">
                  <a:rPr lang="en-US"/>
                  <a:pPr>
                    <a:defRPr sz="14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6">
              <a:lumMod val="60000"/>
              <a:lumOff val="4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7"/>
        <c:spPr>
          <a:solidFill>
            <a:schemeClr val="accent6">
              <a:lumMod val="40000"/>
              <a:lumOff val="6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8"/>
        <c:spPr>
          <a:solidFill>
            <a:schemeClr val="accent6">
              <a:lumMod val="20000"/>
              <a:lumOff val="8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9"/>
        <c:spPr>
          <a:solidFill>
            <a:schemeClr val="bg1">
              <a:lumMod val="8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20"/>
        <c:spPr>
          <a:solidFill>
            <a:srgbClr val="FF000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s>
    <c:plotArea>
      <c:layout/>
      <c:pieChart>
        <c:varyColors val="1"/>
        <c:ser>
          <c:idx val="0"/>
          <c:order val="0"/>
          <c:tx>
            <c:strRef>
              <c:f>Pivot!$B$70</c:f>
              <c:strCache>
                <c:ptCount val="1"/>
                <c:pt idx="0">
                  <c:v>Total</c:v>
                </c:pt>
              </c:strCache>
            </c:strRef>
          </c:tx>
          <c:dPt>
            <c:idx val="0"/>
            <c:bubble3D val="0"/>
            <c:explosion val="10"/>
            <c:spPr>
              <a:solidFill>
                <a:srgbClr val="00A388"/>
              </a:solidFill>
              <a:ln w="19050">
                <a:solidFill>
                  <a:schemeClr val="lt1"/>
                </a:solidFill>
              </a:ln>
              <a:effectLst/>
            </c:spPr>
            <c:extLst>
              <c:ext xmlns:c16="http://schemas.microsoft.com/office/drawing/2014/chart" uri="{C3380CC4-5D6E-409C-BE32-E72D297353CC}">
                <c16:uniqueId val="{00000001-4F3A-47F9-8BEF-0B2D8893D567}"/>
              </c:ext>
            </c:extLst>
          </c:dPt>
          <c:dPt>
            <c:idx val="1"/>
            <c:bubble3D val="0"/>
            <c:explosion val="2"/>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4F3A-47F9-8BEF-0B2D8893D567}"/>
              </c:ext>
            </c:extLst>
          </c:dPt>
          <c:dPt>
            <c:idx val="2"/>
            <c:bubble3D val="0"/>
            <c:explosion val="4"/>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4F3A-47F9-8BEF-0B2D8893D567}"/>
              </c:ext>
            </c:extLst>
          </c:dPt>
          <c:dPt>
            <c:idx val="3"/>
            <c:bubble3D val="0"/>
            <c:explosion val="6"/>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7-4F3A-47F9-8BEF-0B2D8893D567}"/>
              </c:ext>
            </c:extLst>
          </c:dPt>
          <c:dPt>
            <c:idx val="4"/>
            <c:bubble3D val="0"/>
            <c:explosion val="8"/>
            <c:spPr>
              <a:solidFill>
                <a:schemeClr val="bg1">
                  <a:lumMod val="85000"/>
                </a:schemeClr>
              </a:solidFill>
              <a:ln w="19050">
                <a:solidFill>
                  <a:schemeClr val="lt1"/>
                </a:solidFill>
              </a:ln>
              <a:effectLst/>
            </c:spPr>
            <c:extLst>
              <c:ext xmlns:c16="http://schemas.microsoft.com/office/drawing/2014/chart" uri="{C3380CC4-5D6E-409C-BE32-E72D297353CC}">
                <c16:uniqueId val="{00000009-4F3A-47F9-8BEF-0B2D8893D567}"/>
              </c:ext>
            </c:extLst>
          </c:dPt>
          <c:dPt>
            <c:idx val="5"/>
            <c:bubble3D val="0"/>
            <c:explosion val="10"/>
            <c:spPr>
              <a:solidFill>
                <a:srgbClr val="FF0000"/>
              </a:solidFill>
              <a:ln w="19050">
                <a:solidFill>
                  <a:schemeClr val="lt1"/>
                </a:solidFill>
              </a:ln>
              <a:effectLst/>
            </c:spPr>
            <c:extLst>
              <c:ext xmlns:c16="http://schemas.microsoft.com/office/drawing/2014/chart" uri="{C3380CC4-5D6E-409C-BE32-E72D297353CC}">
                <c16:uniqueId val="{0000000B-4F3A-47F9-8BEF-0B2D8893D567}"/>
              </c:ext>
            </c:extLst>
          </c:dPt>
          <c:dLbls>
            <c:dLbl>
              <c:idx val="0"/>
              <c:tx>
                <c:rich>
                  <a:bodyPr/>
                  <a:lstStyle/>
                  <a:p>
                    <a:fld id="{D801EF2C-F820-49CE-AFC5-DDA3CEE5C572}"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F3A-47F9-8BEF-0B2D8893D567}"/>
                </c:ext>
              </c:extLst>
            </c:dLbl>
            <c:dLbl>
              <c:idx val="1"/>
              <c:tx>
                <c:rich>
                  <a:bodyPr/>
                  <a:lstStyle/>
                  <a:p>
                    <a:endParaRPr lang="en-US"/>
                  </a:p>
                </c:rich>
              </c:tx>
              <c:dLblPos val="bestFi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4F3A-47F9-8BEF-0B2D8893D567}"/>
                </c:ext>
              </c:extLst>
            </c:dLbl>
            <c:dLbl>
              <c:idx val="2"/>
              <c:tx>
                <c:rich>
                  <a:bodyPr/>
                  <a:lstStyle/>
                  <a:p>
                    <a:endParaRPr lang="en-US"/>
                  </a:p>
                </c:rich>
              </c:tx>
              <c:dLblPos val="bestFi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4F3A-47F9-8BEF-0B2D8893D567}"/>
                </c:ext>
              </c:extLst>
            </c:dLbl>
            <c:dLbl>
              <c:idx val="3"/>
              <c:tx>
                <c:rich>
                  <a:bodyPr/>
                  <a:lstStyle/>
                  <a:p>
                    <a:endParaRPr lang="en-US"/>
                  </a:p>
                </c:rich>
              </c:tx>
              <c:dLblPos val="bestFi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4F3A-47F9-8BEF-0B2D8893D567}"/>
                </c:ext>
              </c:extLst>
            </c:dLbl>
            <c:dLbl>
              <c:idx val="4"/>
              <c:tx>
                <c:rich>
                  <a:bodyPr/>
                  <a:lstStyle/>
                  <a:p>
                    <a:endParaRPr lang="en-US"/>
                  </a:p>
                </c:rich>
              </c:tx>
              <c:dLblPos val="bestFi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4F3A-47F9-8BEF-0B2D8893D567}"/>
                </c:ext>
              </c:extLst>
            </c:dLbl>
            <c:dLbl>
              <c:idx val="5"/>
              <c:tx>
                <c:rich>
                  <a:bodyPr/>
                  <a:lstStyle/>
                  <a:p>
                    <a:endParaRPr lang="en-US"/>
                  </a:p>
                </c:rich>
              </c:tx>
              <c:dLblPos val="bestFi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4F3A-47F9-8BEF-0B2D8893D56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showLeaderLines val="1"/>
            <c:leaderLines>
              <c:spPr>
                <a:ln w="9525" cap="flat" cmpd="sng" algn="ctr">
                  <a:solidFill>
                    <a:schemeClr val="tx1">
                      <a:lumMod val="95000"/>
                      <a:lumOff val="5000"/>
                    </a:schemeClr>
                  </a:solidFill>
                  <a:round/>
                </a:ln>
                <a:effectLst/>
              </c:spPr>
            </c:leaderLines>
            <c:extLst>
              <c:ext xmlns:c15="http://schemas.microsoft.com/office/drawing/2012/chart" uri="{CE6537A1-D6FC-4f65-9D91-7224C49458BB}">
                <c15:showDataLabelsRange val="1"/>
              </c:ext>
            </c:extLst>
          </c:dLbls>
          <c:cat>
            <c:strRef>
              <c:f>Pivot!$B$70</c:f>
              <c:strCache>
                <c:ptCount val="6"/>
                <c:pt idx="0">
                  <c:v>Shipped</c:v>
                </c:pt>
                <c:pt idx="1">
                  <c:v>Cancelled</c:v>
                </c:pt>
                <c:pt idx="2">
                  <c:v>On Hold</c:v>
                </c:pt>
                <c:pt idx="3">
                  <c:v>Resolved</c:v>
                </c:pt>
                <c:pt idx="4">
                  <c:v>In Process</c:v>
                </c:pt>
                <c:pt idx="5">
                  <c:v>Disputed</c:v>
                </c:pt>
              </c:strCache>
            </c:strRef>
          </c:cat>
          <c:val>
            <c:numRef>
              <c:f>Pivot!$B$70</c:f>
              <c:numCache>
                <c:formatCode>0.00%</c:formatCode>
                <c:ptCount val="6"/>
                <c:pt idx="0">
                  <c:v>0.92263821454167383</c:v>
                </c:pt>
                <c:pt idx="1">
                  <c:v>2.0571936164413981E-2</c:v>
                </c:pt>
                <c:pt idx="2">
                  <c:v>1.8966961753156954E-2</c:v>
                </c:pt>
                <c:pt idx="3">
                  <c:v>1.6756336620670859E-2</c:v>
                </c:pt>
                <c:pt idx="4">
                  <c:v>1.5040326243855168E-2</c:v>
                </c:pt>
                <c:pt idx="5">
                  <c:v>6.0262246762292186E-3</c:v>
                </c:pt>
              </c:numCache>
            </c:numRef>
          </c:val>
          <c:extLst>
            <c:ext xmlns:c15="http://schemas.microsoft.com/office/drawing/2012/chart" uri="{02D57815-91ED-43cb-92C2-25804820EDAC}">
              <c15:datalabelsRange>
                <c15:f>Pivot!$B$70</c15:f>
                <c15:dlblRangeCache>
                  <c:ptCount val="1"/>
                  <c:pt idx="0">
                    <c:v>92.26%</c:v>
                  </c:pt>
                </c15:dlblRangeCache>
              </c15:datalabelsRange>
            </c:ext>
            <c:ext xmlns:c16="http://schemas.microsoft.com/office/drawing/2014/chart" uri="{C3380CC4-5D6E-409C-BE32-E72D297353CC}">
              <c16:uniqueId val="{0000000C-4F3A-47F9-8BEF-0B2D8893D56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[Dashboard.xlsx]Pivot!Rev Over Time</c:name>
    <c:fmtId val="12"/>
  </c:pivotSource>
  <c:chart>
    <c:title>
      <c:tx>
        <c:rich>
          <a:bodyPr rot="0" spcFirstLastPara="1" vertOverflow="ellipsis" vert="horz" wrap="square" anchor="ctr" anchorCtr="1"/>
          <a:lstStyle/>
          <a:p>
            <a:pPr>
              <a:defRPr sz="1200" b="1" i="0" u="none" strike="noStrike" kern="1200" spc="0" baseline="0">
                <a:solidFill>
                  <a:schemeClr val="tx1">
                    <a:lumMod val="85000"/>
                    <a:lumOff val="15000"/>
                  </a:schemeClr>
                </a:solidFill>
                <a:latin typeface="+mn-lt"/>
                <a:ea typeface="+mn-ea"/>
                <a:cs typeface="+mn-cs"/>
              </a:defRPr>
            </a:pPr>
            <a:r>
              <a:rPr lang="en-US" sz="1200" b="1">
                <a:solidFill>
                  <a:schemeClr val="tx1">
                    <a:lumMod val="85000"/>
                    <a:lumOff val="15000"/>
                  </a:schemeClr>
                </a:solidFill>
              </a:rPr>
              <a:t>Rev Over</a:t>
            </a:r>
            <a:r>
              <a:rPr lang="en-US" sz="1200" b="1" baseline="0">
                <a:solidFill>
                  <a:schemeClr val="tx1">
                    <a:lumMod val="85000"/>
                    <a:lumOff val="15000"/>
                  </a:schemeClr>
                </a:solidFill>
              </a:rPr>
              <a:t> Time</a:t>
            </a:r>
            <a:endParaRPr lang="en-US" sz="1200"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19050" cap="rnd">
            <a:solidFill>
              <a:srgbClr val="00A38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rgbClr val="00A38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rgbClr val="00A38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rgbClr val="00A38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19050" cap="rnd">
            <a:solidFill>
              <a:srgbClr val="00A38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19050" cap="rnd">
            <a:solidFill>
              <a:srgbClr val="00A388"/>
            </a:solidFill>
            <a:round/>
          </a:ln>
          <a:effectLst/>
        </c:spPr>
        <c:marker>
          <c:symbol val="circle"/>
          <c:size val="7"/>
          <c:spPr>
            <a:solidFill>
              <a:srgbClr val="00A388"/>
            </a:solidFill>
            <a:ln w="9525">
              <a:solidFill>
                <a:srgbClr val="252A3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Pivot!$B$81</c:f>
              <c:strCache>
                <c:ptCount val="1"/>
                <c:pt idx="0">
                  <c:v>Total</c:v>
                </c:pt>
              </c:strCache>
            </c:strRef>
          </c:tx>
          <c:spPr>
            <a:ln w="19050" cap="rnd">
              <a:solidFill>
                <a:srgbClr val="00A388"/>
              </a:solidFill>
              <a:round/>
            </a:ln>
            <a:effectLst/>
          </c:spPr>
          <c:marker>
            <c:symbol val="none"/>
          </c:marker>
          <c:dPt>
            <c:idx val="22"/>
            <c:marker>
              <c:symbol val="circle"/>
              <c:size val="7"/>
              <c:spPr>
                <a:solidFill>
                  <a:srgbClr val="00A388"/>
                </a:solidFill>
                <a:ln w="9525">
                  <a:solidFill>
                    <a:srgbClr val="252A34"/>
                  </a:solidFill>
                </a:ln>
                <a:effectLst/>
              </c:spPr>
            </c:marker>
            <c:bubble3D val="0"/>
            <c:extLst>
              <c:ext xmlns:c16="http://schemas.microsoft.com/office/drawing/2014/chart" uri="{C3380CC4-5D6E-409C-BE32-E72D297353CC}">
                <c16:uniqueId val="{00000006-5E67-4D9C-A96F-ADA826A2B8D8}"/>
              </c:ext>
            </c:extLst>
          </c:dPt>
          <c:dLbls>
            <c:dLbl>
              <c:idx val="2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E67-4D9C-A96F-ADA826A2B8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multiLvlStrRef>
              <c:f>Pivot!$A$82:$A$114</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Pivot!$B$82:$B$114</c:f>
              <c:numCache>
                <c:formatCode>\$#,##0;\(\$#,##0\);\$#,##0</c:formatCode>
                <c:ptCount val="29"/>
                <c:pt idx="0">
                  <c:v>107885.96</c:v>
                </c:pt>
                <c:pt idx="1">
                  <c:v>120036.8</c:v>
                </c:pt>
                <c:pt idx="2">
                  <c:v>144096.22999999995</c:v>
                </c:pt>
                <c:pt idx="3">
                  <c:v>169421.03000000009</c:v>
                </c:pt>
                <c:pt idx="4">
                  <c:v>163654.11999999994</c:v>
                </c:pt>
                <c:pt idx="5">
                  <c:v>139552.84000000003</c:v>
                </c:pt>
                <c:pt idx="6">
                  <c:v>149869.72999999998</c:v>
                </c:pt>
                <c:pt idx="7">
                  <c:v>166026.32</c:v>
                </c:pt>
                <c:pt idx="8">
                  <c:v>211045.86000000002</c:v>
                </c:pt>
                <c:pt idx="9">
                  <c:v>466240.57</c:v>
                </c:pt>
                <c:pt idx="10">
                  <c:v>850203.27000000025</c:v>
                </c:pt>
                <c:pt idx="11">
                  <c:v>210117.21</c:v>
                </c:pt>
                <c:pt idx="12">
                  <c:v>268015.86999999982</c:v>
                </c:pt>
                <c:pt idx="13">
                  <c:v>258389.05000000002</c:v>
                </c:pt>
                <c:pt idx="14">
                  <c:v>166958.55999999997</c:v>
                </c:pt>
                <c:pt idx="15">
                  <c:v>172935.80000000002</c:v>
                </c:pt>
                <c:pt idx="16">
                  <c:v>220815.13999999996</c:v>
                </c:pt>
                <c:pt idx="17">
                  <c:v>245190.75</c:v>
                </c:pt>
                <c:pt idx="18">
                  <c:v>271103.61000000004</c:v>
                </c:pt>
                <c:pt idx="19">
                  <c:v>386106.58999999997</c:v>
                </c:pt>
                <c:pt idx="20">
                  <c:v>263854.26000000007</c:v>
                </c:pt>
                <c:pt idx="21">
                  <c:v>452796.13000000006</c:v>
                </c:pt>
                <c:pt idx="22">
                  <c:v>894479.1800000004</c:v>
                </c:pt>
                <c:pt idx="23">
                  <c:v>313055.93000000011</c:v>
                </c:pt>
                <c:pt idx="24">
                  <c:v>283680.46000000008</c:v>
                </c:pt>
                <c:pt idx="25">
                  <c:v>289902.30000000005</c:v>
                </c:pt>
                <c:pt idx="26">
                  <c:v>315131.94</c:v>
                </c:pt>
                <c:pt idx="27">
                  <c:v>217977.63000000006</c:v>
                </c:pt>
                <c:pt idx="28">
                  <c:v>372343.64999999985</c:v>
                </c:pt>
              </c:numCache>
            </c:numRef>
          </c:val>
          <c:smooth val="0"/>
          <c:extLst>
            <c:ext xmlns:c16="http://schemas.microsoft.com/office/drawing/2014/chart" uri="{C3380CC4-5D6E-409C-BE32-E72D297353CC}">
              <c16:uniqueId val="{00000001-0DBB-4842-AD49-A797867EA3B3}"/>
            </c:ext>
          </c:extLst>
        </c:ser>
        <c:dLbls>
          <c:showLegendKey val="0"/>
          <c:showVal val="0"/>
          <c:showCatName val="0"/>
          <c:showSerName val="0"/>
          <c:showPercent val="0"/>
          <c:showBubbleSize val="0"/>
        </c:dLbls>
        <c:smooth val="0"/>
        <c:axId val="1660325344"/>
        <c:axId val="1660321984"/>
      </c:lineChart>
      <c:catAx>
        <c:axId val="166032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85000"/>
                    <a:lumOff val="15000"/>
                  </a:schemeClr>
                </a:solidFill>
                <a:latin typeface="+mn-lt"/>
                <a:ea typeface="+mn-ea"/>
                <a:cs typeface="+mn-cs"/>
              </a:defRPr>
            </a:pPr>
            <a:endParaRPr lang="en-US"/>
          </a:p>
        </c:txPr>
        <c:crossAx val="1660321984"/>
        <c:crosses val="autoZero"/>
        <c:auto val="1"/>
        <c:lblAlgn val="ctr"/>
        <c:lblOffset val="100"/>
        <c:noMultiLvlLbl val="0"/>
      </c:catAx>
      <c:valAx>
        <c:axId val="1660321984"/>
        <c:scaling>
          <c:orientation val="minMax"/>
        </c:scaling>
        <c:delete val="1"/>
        <c:axPos val="l"/>
        <c:numFmt formatCode="\$#,##0;\(\$#,##0\);\$#,##0" sourceLinked="1"/>
        <c:majorTickMark val="none"/>
        <c:minorTickMark val="none"/>
        <c:tickLblPos val="nextTo"/>
        <c:crossAx val="166032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7" Type="http://schemas.openxmlformats.org/officeDocument/2006/relationships/hyperlink" Target="#Report!A1"/><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6</xdr:col>
      <xdr:colOff>144780</xdr:colOff>
      <xdr:row>4</xdr:row>
      <xdr:rowOff>160020</xdr:rowOff>
    </xdr:from>
    <xdr:to>
      <xdr:col>7</xdr:col>
      <xdr:colOff>327660</xdr:colOff>
      <xdr:row>20</xdr:row>
      <xdr:rowOff>106680</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9F44A5EB-36FE-95E1-789F-778CA3243CC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770120" y="906780"/>
              <a:ext cx="1066800" cy="2697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288214</xdr:colOff>
      <xdr:row>1</xdr:row>
      <xdr:rowOff>99061</xdr:rowOff>
    </xdr:from>
    <xdr:to>
      <xdr:col>23</xdr:col>
      <xdr:colOff>243840</xdr:colOff>
      <xdr:row>41</xdr:row>
      <xdr:rowOff>160021</xdr:rowOff>
    </xdr:to>
    <xdr:graphicFrame macro="">
      <xdr:nvGraphicFramePr>
        <xdr:cNvPr id="2" name="Chart 1">
          <a:extLst>
            <a:ext uri="{FF2B5EF4-FFF2-40B4-BE49-F238E27FC236}">
              <a16:creationId xmlns:a16="http://schemas.microsoft.com/office/drawing/2014/main" id="{54F19D4A-2EAA-48E8-821B-AB5BF812B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xdr:rowOff>
    </xdr:from>
    <xdr:to>
      <xdr:col>2</xdr:col>
      <xdr:colOff>243840</xdr:colOff>
      <xdr:row>41</xdr:row>
      <xdr:rowOff>129541</xdr:rowOff>
    </xdr:to>
    <xdr:sp macro="" textlink="">
      <xdr:nvSpPr>
        <xdr:cNvPr id="4" name="Rectangle 3">
          <a:extLst>
            <a:ext uri="{FF2B5EF4-FFF2-40B4-BE49-F238E27FC236}">
              <a16:creationId xmlns:a16="http://schemas.microsoft.com/office/drawing/2014/main" id="{AF1D3840-0DAD-A7BC-5883-FD52CBDD955B}"/>
            </a:ext>
          </a:extLst>
        </xdr:cNvPr>
        <xdr:cNvSpPr/>
      </xdr:nvSpPr>
      <xdr:spPr>
        <a:xfrm>
          <a:off x="0" y="1"/>
          <a:ext cx="1463040" cy="7627620"/>
        </a:xfrm>
        <a:prstGeom prst="rect">
          <a:avLst/>
        </a:prstGeom>
        <a:solidFill>
          <a:srgbClr val="252A3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327660</xdr:colOff>
      <xdr:row>4</xdr:row>
      <xdr:rowOff>76200</xdr:rowOff>
    </xdr:from>
    <xdr:to>
      <xdr:col>17</xdr:col>
      <xdr:colOff>594360</xdr:colOff>
      <xdr:row>4</xdr:row>
      <xdr:rowOff>104170</xdr:rowOff>
    </xdr:to>
    <xdr:cxnSp macro="">
      <xdr:nvCxnSpPr>
        <xdr:cNvPr id="6" name="Straight Connector 5">
          <a:extLst>
            <a:ext uri="{FF2B5EF4-FFF2-40B4-BE49-F238E27FC236}">
              <a16:creationId xmlns:a16="http://schemas.microsoft.com/office/drawing/2014/main" id="{DA4334E2-811D-DFF1-FD3B-E6303EA33027}"/>
            </a:ext>
          </a:extLst>
        </xdr:cNvPr>
        <xdr:cNvCxnSpPr>
          <a:cxnSpLocks/>
        </xdr:cNvCxnSpPr>
      </xdr:nvCxnSpPr>
      <xdr:spPr>
        <a:xfrm rot="10800000" flipH="1">
          <a:off x="1546860" y="807720"/>
          <a:ext cx="9410700" cy="27970"/>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358588</xdr:colOff>
      <xdr:row>0</xdr:row>
      <xdr:rowOff>170329</xdr:rowOff>
    </xdr:from>
    <xdr:to>
      <xdr:col>1</xdr:col>
      <xdr:colOff>385483</xdr:colOff>
      <xdr:row>4</xdr:row>
      <xdr:rowOff>89648</xdr:rowOff>
    </xdr:to>
    <xdr:pic>
      <xdr:nvPicPr>
        <xdr:cNvPr id="8" name="Graphic 7">
          <a:extLst>
            <a:ext uri="{FF2B5EF4-FFF2-40B4-BE49-F238E27FC236}">
              <a16:creationId xmlns:a16="http://schemas.microsoft.com/office/drawing/2014/main" id="{5EE30BEB-79E0-131D-795D-6F3E4D51202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58588" y="170329"/>
          <a:ext cx="636495" cy="636495"/>
        </a:xfrm>
        <a:prstGeom prst="rect">
          <a:avLst/>
        </a:prstGeom>
      </xdr:spPr>
    </xdr:pic>
    <xdr:clientData/>
  </xdr:twoCellAnchor>
  <xdr:twoCellAnchor>
    <xdr:from>
      <xdr:col>0</xdr:col>
      <xdr:colOff>53789</xdr:colOff>
      <xdr:row>7</xdr:row>
      <xdr:rowOff>107576</xdr:rowOff>
    </xdr:from>
    <xdr:to>
      <xdr:col>1</xdr:col>
      <xdr:colOff>546848</xdr:colOff>
      <xdr:row>9</xdr:row>
      <xdr:rowOff>35859</xdr:rowOff>
    </xdr:to>
    <xdr:sp macro="" textlink="">
      <xdr:nvSpPr>
        <xdr:cNvPr id="9" name="TextBox 8">
          <a:extLst>
            <a:ext uri="{FF2B5EF4-FFF2-40B4-BE49-F238E27FC236}">
              <a16:creationId xmlns:a16="http://schemas.microsoft.com/office/drawing/2014/main" id="{B2BBA856-E5BF-74BC-1360-6E35531635C3}"/>
            </a:ext>
          </a:extLst>
        </xdr:cNvPr>
        <xdr:cNvSpPr txBox="1"/>
      </xdr:nvSpPr>
      <xdr:spPr>
        <a:xfrm>
          <a:off x="53789" y="1362635"/>
          <a:ext cx="1102659" cy="28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85000"/>
                </a:schemeClr>
              </a:solidFill>
            </a:rPr>
            <a:t>Filter</a:t>
          </a:r>
        </a:p>
      </xdr:txBody>
    </xdr:sp>
    <xdr:clientData/>
  </xdr:twoCellAnchor>
  <xdr:twoCellAnchor>
    <xdr:from>
      <xdr:col>0</xdr:col>
      <xdr:colOff>53788</xdr:colOff>
      <xdr:row>9</xdr:row>
      <xdr:rowOff>89646</xdr:rowOff>
    </xdr:from>
    <xdr:to>
      <xdr:col>2</xdr:col>
      <xdr:colOff>170329</xdr:colOff>
      <xdr:row>9</xdr:row>
      <xdr:rowOff>89646</xdr:rowOff>
    </xdr:to>
    <xdr:cxnSp macro="">
      <xdr:nvCxnSpPr>
        <xdr:cNvPr id="10" name="Straight Connector 9">
          <a:extLst>
            <a:ext uri="{FF2B5EF4-FFF2-40B4-BE49-F238E27FC236}">
              <a16:creationId xmlns:a16="http://schemas.microsoft.com/office/drawing/2014/main" id="{A369A2AE-D1EE-4BFE-BD20-03FCEC917205}"/>
            </a:ext>
          </a:extLst>
        </xdr:cNvPr>
        <xdr:cNvCxnSpPr/>
      </xdr:nvCxnSpPr>
      <xdr:spPr>
        <a:xfrm>
          <a:off x="53788" y="1703293"/>
          <a:ext cx="1335741" cy="0"/>
        </a:xfrm>
        <a:prstGeom prst="line">
          <a:avLst/>
        </a:prstGeom>
        <a:ln>
          <a:solidFill>
            <a:srgbClr val="B4B4B4">
              <a:alpha val="30196"/>
            </a:srgb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44824</xdr:colOff>
      <xdr:row>11</xdr:row>
      <xdr:rowOff>44824</xdr:rowOff>
    </xdr:from>
    <xdr:to>
      <xdr:col>2</xdr:col>
      <xdr:colOff>152400</xdr:colOff>
      <xdr:row>18</xdr:row>
      <xdr:rowOff>53789</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908D2DC9-7196-45A5-BB7C-0FA1F0CB8D7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4824" y="2017059"/>
              <a:ext cx="1326776" cy="126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382090</xdr:colOff>
      <xdr:row>11</xdr:row>
      <xdr:rowOff>125185</xdr:rowOff>
    </xdr:from>
    <xdr:to>
      <xdr:col>10</xdr:col>
      <xdr:colOff>464820</xdr:colOff>
      <xdr:row>27</xdr:row>
      <xdr:rowOff>114300</xdr:rowOff>
    </xdr:to>
    <xdr:grpSp>
      <xdr:nvGrpSpPr>
        <xdr:cNvPr id="7" name="Group 6">
          <a:extLst>
            <a:ext uri="{FF2B5EF4-FFF2-40B4-BE49-F238E27FC236}">
              <a16:creationId xmlns:a16="http://schemas.microsoft.com/office/drawing/2014/main" id="{51676A50-062E-DEFA-6ED0-EB132C4F8EF6}"/>
            </a:ext>
          </a:extLst>
        </xdr:cNvPr>
        <xdr:cNvGrpSpPr/>
      </xdr:nvGrpSpPr>
      <xdr:grpSpPr>
        <a:xfrm>
          <a:off x="1601290" y="2136865"/>
          <a:ext cx="4959530" cy="2915195"/>
          <a:chOff x="1621972" y="2174965"/>
          <a:chExt cx="4996541" cy="2915195"/>
        </a:xfrm>
      </xdr:grpSpPr>
      <xdr:sp macro="" textlink="">
        <xdr:nvSpPr>
          <xdr:cNvPr id="16" name="Rectangle: Rounded Corners 15">
            <a:extLst>
              <a:ext uri="{FF2B5EF4-FFF2-40B4-BE49-F238E27FC236}">
                <a16:creationId xmlns:a16="http://schemas.microsoft.com/office/drawing/2014/main" id="{DDBDBBB9-E7FA-3B20-BA0F-7C0255BBE98F}"/>
              </a:ext>
            </a:extLst>
          </xdr:cNvPr>
          <xdr:cNvSpPr/>
        </xdr:nvSpPr>
        <xdr:spPr>
          <a:xfrm>
            <a:off x="1621972" y="2174965"/>
            <a:ext cx="4887685" cy="2915195"/>
          </a:xfrm>
          <a:prstGeom prst="roundRect">
            <a:avLst>
              <a:gd name="adj" fmla="val 412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4" name="Chart 13">
            <a:extLst>
              <a:ext uri="{FF2B5EF4-FFF2-40B4-BE49-F238E27FC236}">
                <a16:creationId xmlns:a16="http://schemas.microsoft.com/office/drawing/2014/main" id="{FBC89C9F-561E-4751-B3A3-5B8CC75DBA57}"/>
              </a:ext>
            </a:extLst>
          </xdr:cNvPr>
          <xdr:cNvGraphicFramePr>
            <a:graphicFrameLocks/>
          </xdr:cNvGraphicFramePr>
        </xdr:nvGraphicFramePr>
        <xdr:xfrm>
          <a:off x="1726871" y="2906487"/>
          <a:ext cx="4572000" cy="215334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5" name="Oval 14">
            <a:extLst>
              <a:ext uri="{FF2B5EF4-FFF2-40B4-BE49-F238E27FC236}">
                <a16:creationId xmlns:a16="http://schemas.microsoft.com/office/drawing/2014/main" id="{3B8C2B24-78BB-5641-41AF-2B25FE0C2E2F}"/>
              </a:ext>
            </a:extLst>
          </xdr:cNvPr>
          <xdr:cNvSpPr/>
        </xdr:nvSpPr>
        <xdr:spPr>
          <a:xfrm>
            <a:off x="3581400" y="2513193"/>
            <a:ext cx="1001486" cy="622664"/>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lang="en-US" sz="1600" b="1" i="0" u="none" strike="noStrike">
                <a:solidFill>
                  <a:srgbClr val="00A388"/>
                </a:solidFill>
                <a:latin typeface="Aptos Narrow"/>
              </a:rPr>
              <a:t>29%</a:t>
            </a:r>
            <a:endParaRPr lang="en-US" sz="1600" b="1">
              <a:solidFill>
                <a:srgbClr val="00A388"/>
              </a:solidFill>
            </a:endParaRPr>
          </a:p>
        </xdr:txBody>
      </xdr:sp>
      <xdr:sp macro="" textlink="">
        <xdr:nvSpPr>
          <xdr:cNvPr id="19" name="TextBox 18">
            <a:extLst>
              <a:ext uri="{FF2B5EF4-FFF2-40B4-BE49-F238E27FC236}">
                <a16:creationId xmlns:a16="http://schemas.microsoft.com/office/drawing/2014/main" id="{4D29C058-C0F7-7022-D47C-FFBD05B9B4AF}"/>
              </a:ext>
            </a:extLst>
          </xdr:cNvPr>
          <xdr:cNvSpPr txBox="1"/>
        </xdr:nvSpPr>
        <xdr:spPr>
          <a:xfrm>
            <a:off x="2928257" y="2292531"/>
            <a:ext cx="2296886" cy="311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i="0" baseline="0">
                <a:solidFill>
                  <a:schemeClr val="dk1"/>
                </a:solidFill>
                <a:effectLst/>
                <a:latin typeface="+mn-lt"/>
                <a:ea typeface="+mn-ea"/>
                <a:cs typeface="+mn-cs"/>
              </a:rPr>
              <a:t>Top 10 Customer By Rev.</a:t>
            </a:r>
            <a:endParaRPr lang="en-US" sz="1200" b="1">
              <a:effectLst/>
            </a:endParaRPr>
          </a:p>
          <a:p>
            <a:pPr algn="ctr"/>
            <a:endParaRPr lang="en-US" sz="1200" b="1"/>
          </a:p>
        </xdr:txBody>
      </xdr:sp>
      <xdr:sp macro="" textlink="">
        <xdr:nvSpPr>
          <xdr:cNvPr id="20" name="TextBox 19">
            <a:extLst>
              <a:ext uri="{FF2B5EF4-FFF2-40B4-BE49-F238E27FC236}">
                <a16:creationId xmlns:a16="http://schemas.microsoft.com/office/drawing/2014/main" id="{D30048AF-76E3-474C-A1EF-FAE0461C1EC4}"/>
              </a:ext>
            </a:extLst>
          </xdr:cNvPr>
          <xdr:cNvSpPr txBox="1"/>
        </xdr:nvSpPr>
        <xdr:spPr>
          <a:xfrm>
            <a:off x="3995056" y="2636520"/>
            <a:ext cx="2623457" cy="248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0" i="0" baseline="0">
                <a:solidFill>
                  <a:schemeClr val="dk1"/>
                </a:solidFill>
                <a:effectLst/>
                <a:latin typeface="+mn-lt"/>
                <a:ea typeface="+mn-ea"/>
                <a:cs typeface="+mn-cs"/>
              </a:rPr>
              <a:t>of Revenue Came from those Cust.</a:t>
            </a:r>
            <a:endParaRPr lang="en-US" sz="1200" b="0"/>
          </a:p>
        </xdr:txBody>
      </xdr:sp>
    </xdr:grpSp>
    <xdr:clientData/>
  </xdr:twoCellAnchor>
  <xdr:twoCellAnchor>
    <xdr:from>
      <xdr:col>10</xdr:col>
      <xdr:colOff>388620</xdr:colOff>
      <xdr:row>11</xdr:row>
      <xdr:rowOff>125185</xdr:rowOff>
    </xdr:from>
    <xdr:to>
      <xdr:col>18</xdr:col>
      <xdr:colOff>236220</xdr:colOff>
      <xdr:row>27</xdr:row>
      <xdr:rowOff>114300</xdr:rowOff>
    </xdr:to>
    <xdr:grpSp>
      <xdr:nvGrpSpPr>
        <xdr:cNvPr id="3" name="Group 2">
          <a:extLst>
            <a:ext uri="{FF2B5EF4-FFF2-40B4-BE49-F238E27FC236}">
              <a16:creationId xmlns:a16="http://schemas.microsoft.com/office/drawing/2014/main" id="{0CEF863C-0A91-5E96-E800-46CCC3208946}"/>
            </a:ext>
          </a:extLst>
        </xdr:cNvPr>
        <xdr:cNvGrpSpPr/>
      </xdr:nvGrpSpPr>
      <xdr:grpSpPr>
        <a:xfrm>
          <a:off x="6484620" y="2136865"/>
          <a:ext cx="4724400" cy="2915195"/>
          <a:chOff x="6636442" y="2173684"/>
          <a:chExt cx="4917141" cy="2915195"/>
        </a:xfrm>
      </xdr:grpSpPr>
      <xdr:sp macro="" textlink="">
        <xdr:nvSpPr>
          <xdr:cNvPr id="22" name="Rectangle: Rounded Corners 21">
            <a:extLst>
              <a:ext uri="{FF2B5EF4-FFF2-40B4-BE49-F238E27FC236}">
                <a16:creationId xmlns:a16="http://schemas.microsoft.com/office/drawing/2014/main" id="{6C008D25-639E-4239-9E5B-698C27525A06}"/>
              </a:ext>
            </a:extLst>
          </xdr:cNvPr>
          <xdr:cNvSpPr/>
        </xdr:nvSpPr>
        <xdr:spPr>
          <a:xfrm>
            <a:off x="6665898" y="2173684"/>
            <a:ext cx="4887685" cy="2915195"/>
          </a:xfrm>
          <a:prstGeom prst="roundRect">
            <a:avLst>
              <a:gd name="adj" fmla="val 412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1" name="Chart 20">
            <a:extLst>
              <a:ext uri="{FF2B5EF4-FFF2-40B4-BE49-F238E27FC236}">
                <a16:creationId xmlns:a16="http://schemas.microsoft.com/office/drawing/2014/main" id="{D09FB44C-365F-45C7-83F4-41E4F423BE07}"/>
              </a:ext>
            </a:extLst>
          </xdr:cNvPr>
          <xdr:cNvGraphicFramePr>
            <a:graphicFrameLocks/>
          </xdr:cNvGraphicFramePr>
        </xdr:nvGraphicFramePr>
        <xdr:xfrm>
          <a:off x="6636442" y="2861287"/>
          <a:ext cx="4780881" cy="2187782"/>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3" name="TextBox 22">
            <a:extLst>
              <a:ext uri="{FF2B5EF4-FFF2-40B4-BE49-F238E27FC236}">
                <a16:creationId xmlns:a16="http://schemas.microsoft.com/office/drawing/2014/main" id="{CF7881D6-C3EB-5569-0B92-5385B7672159}"/>
              </a:ext>
            </a:extLst>
          </xdr:cNvPr>
          <xdr:cNvSpPr txBox="1"/>
        </xdr:nvSpPr>
        <xdr:spPr>
          <a:xfrm>
            <a:off x="7810572" y="2273568"/>
            <a:ext cx="2296886" cy="311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1100" b="1" i="0" baseline="0">
                <a:solidFill>
                  <a:schemeClr val="dk1"/>
                </a:solidFill>
                <a:effectLst/>
                <a:latin typeface="+mn-lt"/>
                <a:ea typeface="+mn-ea"/>
                <a:cs typeface="+mn-cs"/>
              </a:rPr>
              <a:t>Qty By </a:t>
            </a:r>
            <a:r>
              <a:rPr lang="en-US" sz="1200" b="1" i="0" baseline="0">
                <a:solidFill>
                  <a:schemeClr val="dk1"/>
                </a:solidFill>
                <a:effectLst/>
                <a:latin typeface="+mn-lt"/>
                <a:ea typeface="+mn-ea"/>
                <a:cs typeface="+mn-cs"/>
              </a:rPr>
              <a:t>Status %</a:t>
            </a:r>
          </a:p>
        </xdr:txBody>
      </xdr:sp>
      <xdr:sp macro="" textlink="Pivot!$B$70">
        <xdr:nvSpPr>
          <xdr:cNvPr id="25" name="Rectangle 24">
            <a:extLst>
              <a:ext uri="{FF2B5EF4-FFF2-40B4-BE49-F238E27FC236}">
                <a16:creationId xmlns:a16="http://schemas.microsoft.com/office/drawing/2014/main" id="{15507E25-B07D-31A6-1859-774E36731D48}"/>
              </a:ext>
            </a:extLst>
          </xdr:cNvPr>
          <xdr:cNvSpPr/>
        </xdr:nvSpPr>
        <xdr:spPr>
          <a:xfrm>
            <a:off x="7132320" y="2691351"/>
            <a:ext cx="754507" cy="3833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7EF8020-2575-4571-B125-C5CE9852C265}" type="TxLink">
              <a:rPr lang="en-US" sz="1200" b="1" i="0" u="none" strike="noStrike">
                <a:solidFill>
                  <a:srgbClr val="00A388"/>
                </a:solidFill>
                <a:latin typeface="Aptos Narrow"/>
              </a:rPr>
              <a:pPr algn="l"/>
              <a:t>92.26%</a:t>
            </a:fld>
            <a:endParaRPr lang="en-US" sz="1200" b="1">
              <a:solidFill>
                <a:srgbClr val="00A388"/>
              </a:solidFill>
            </a:endParaRPr>
          </a:p>
        </xdr:txBody>
      </xdr:sp>
      <xdr:sp macro="" textlink="Pivot!$B$72">
        <xdr:nvSpPr>
          <xdr:cNvPr id="26" name="Rectangle 25">
            <a:extLst>
              <a:ext uri="{FF2B5EF4-FFF2-40B4-BE49-F238E27FC236}">
                <a16:creationId xmlns:a16="http://schemas.microsoft.com/office/drawing/2014/main" id="{EB3F7953-4653-449E-9E2C-FD123C0D18E7}"/>
              </a:ext>
            </a:extLst>
          </xdr:cNvPr>
          <xdr:cNvSpPr/>
        </xdr:nvSpPr>
        <xdr:spPr>
          <a:xfrm>
            <a:off x="8951102" y="2691351"/>
            <a:ext cx="696644" cy="3833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235ACB3-0979-4BE1-9961-1CA8FA2C6732}" type="TxLink">
              <a:rPr lang="en-US" sz="1100" b="1" i="0" u="none" strike="noStrike">
                <a:solidFill>
                  <a:srgbClr val="FF0000"/>
                </a:solidFill>
                <a:latin typeface="Aptos Narrow"/>
              </a:rPr>
              <a:pPr algn="l"/>
              <a:t>1.90%</a:t>
            </a:fld>
            <a:endParaRPr lang="en-US" sz="1200" b="1">
              <a:solidFill>
                <a:srgbClr val="FF0000"/>
              </a:solidFill>
            </a:endParaRPr>
          </a:p>
        </xdr:txBody>
      </xdr:sp>
      <xdr:sp macro="" textlink="">
        <xdr:nvSpPr>
          <xdr:cNvPr id="29" name="TextBox 28">
            <a:extLst>
              <a:ext uri="{FF2B5EF4-FFF2-40B4-BE49-F238E27FC236}">
                <a16:creationId xmlns:a16="http://schemas.microsoft.com/office/drawing/2014/main" id="{11C464BD-D05E-0E8D-D9C5-3683FBD1C6CE}"/>
              </a:ext>
            </a:extLst>
          </xdr:cNvPr>
          <xdr:cNvSpPr txBox="1"/>
        </xdr:nvSpPr>
        <xdr:spPr>
          <a:xfrm>
            <a:off x="7621965" y="2691351"/>
            <a:ext cx="1421006" cy="251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0" i="0" baseline="0">
                <a:solidFill>
                  <a:schemeClr val="dk1"/>
                </a:solidFill>
                <a:effectLst/>
                <a:latin typeface="+mn-lt"/>
                <a:ea typeface="+mn-ea"/>
                <a:cs typeface="+mn-cs"/>
              </a:rPr>
              <a:t>of Qty was Shipped</a:t>
            </a:r>
            <a:endParaRPr lang="en-US" sz="1200" b="0"/>
          </a:p>
        </xdr:txBody>
      </xdr:sp>
      <xdr:sp macro="" textlink="">
        <xdr:nvSpPr>
          <xdr:cNvPr id="30" name="TextBox 29">
            <a:extLst>
              <a:ext uri="{FF2B5EF4-FFF2-40B4-BE49-F238E27FC236}">
                <a16:creationId xmlns:a16="http://schemas.microsoft.com/office/drawing/2014/main" id="{E2754F38-D9B5-49AC-9B98-A253EF69C24E}"/>
              </a:ext>
            </a:extLst>
          </xdr:cNvPr>
          <xdr:cNvSpPr txBox="1"/>
        </xdr:nvSpPr>
        <xdr:spPr>
          <a:xfrm>
            <a:off x="9328709" y="2691351"/>
            <a:ext cx="1643743" cy="251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0" i="0" baseline="0">
                <a:solidFill>
                  <a:schemeClr val="dk1"/>
                </a:solidFill>
                <a:effectLst/>
                <a:latin typeface="+mn-lt"/>
                <a:ea typeface="+mn-ea"/>
                <a:cs typeface="+mn-cs"/>
              </a:rPr>
              <a:t>of Qty was Cancelled</a:t>
            </a:r>
          </a:p>
        </xdr:txBody>
      </xdr:sp>
    </xdr:grpSp>
    <xdr:clientData/>
  </xdr:twoCellAnchor>
  <xdr:twoCellAnchor>
    <xdr:from>
      <xdr:col>2</xdr:col>
      <xdr:colOff>351610</xdr:colOff>
      <xdr:row>27</xdr:row>
      <xdr:rowOff>168088</xdr:rowOff>
    </xdr:from>
    <xdr:to>
      <xdr:col>18</xdr:col>
      <xdr:colOff>198120</xdr:colOff>
      <xdr:row>41</xdr:row>
      <xdr:rowOff>137160</xdr:rowOff>
    </xdr:to>
    <xdr:graphicFrame macro="">
      <xdr:nvGraphicFramePr>
        <xdr:cNvPr id="31" name="Chart 30">
          <a:extLst>
            <a:ext uri="{FF2B5EF4-FFF2-40B4-BE49-F238E27FC236}">
              <a16:creationId xmlns:a16="http://schemas.microsoft.com/office/drawing/2014/main" id="{830CE552-E2B1-4452-BB66-CCD1AC654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30480</xdr:colOff>
      <xdr:row>18</xdr:row>
      <xdr:rowOff>152400</xdr:rowOff>
    </xdr:from>
    <xdr:to>
      <xdr:col>2</xdr:col>
      <xdr:colOff>175260</xdr:colOff>
      <xdr:row>40</xdr:row>
      <xdr:rowOff>160020</xdr:rowOff>
    </xdr:to>
    <mc:AlternateContent xmlns:mc="http://schemas.openxmlformats.org/markup-compatibility/2006" xmlns:a14="http://schemas.microsoft.com/office/drawing/2010/main">
      <mc:Choice Requires="a14">
        <xdr:graphicFrame macro="">
          <xdr:nvGraphicFramePr>
            <xdr:cNvPr id="32" name="Country">
              <a:extLst>
                <a:ext uri="{FF2B5EF4-FFF2-40B4-BE49-F238E27FC236}">
                  <a16:creationId xmlns:a16="http://schemas.microsoft.com/office/drawing/2014/main" id="{B4CE1BF3-7A27-45AD-BECB-CB74CCDACAD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0480" y="3444240"/>
              <a:ext cx="1363980" cy="3169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365760</xdr:colOff>
      <xdr:row>0</xdr:row>
      <xdr:rowOff>76200</xdr:rowOff>
    </xdr:from>
    <xdr:to>
      <xdr:col>4</xdr:col>
      <xdr:colOff>533400</xdr:colOff>
      <xdr:row>2</xdr:row>
      <xdr:rowOff>45720</xdr:rowOff>
    </xdr:to>
    <xdr:sp macro="" textlink="Pivot!A1">
      <xdr:nvSpPr>
        <xdr:cNvPr id="46" name="Rectangle 45">
          <a:extLst>
            <a:ext uri="{FF2B5EF4-FFF2-40B4-BE49-F238E27FC236}">
              <a16:creationId xmlns:a16="http://schemas.microsoft.com/office/drawing/2014/main" id="{4F9E1731-B7CD-C0CF-BCAA-934EECD383C9}"/>
            </a:ext>
          </a:extLst>
        </xdr:cNvPr>
        <xdr:cNvSpPr/>
      </xdr:nvSpPr>
      <xdr:spPr>
        <a:xfrm>
          <a:off x="1584960" y="76200"/>
          <a:ext cx="138684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9A5BD22-972E-41B6-AD81-5495CF04E8F1}" type="TxLink">
            <a:rPr lang="en-US" sz="1400" b="1" i="0" u="none" strike="noStrike">
              <a:solidFill>
                <a:srgbClr val="000000"/>
              </a:solidFill>
              <a:latin typeface="Aptos Narrow"/>
            </a:rPr>
            <a:pPr algn="l"/>
            <a:t>Good Evening</a:t>
          </a:fld>
          <a:endParaRPr lang="en-US" sz="1400" b="1"/>
        </a:p>
      </xdr:txBody>
    </xdr:sp>
    <xdr:clientData/>
  </xdr:twoCellAnchor>
  <xdr:twoCellAnchor>
    <xdr:from>
      <xdr:col>2</xdr:col>
      <xdr:colOff>464820</xdr:colOff>
      <xdr:row>2</xdr:row>
      <xdr:rowOff>62048</xdr:rowOff>
    </xdr:from>
    <xdr:to>
      <xdr:col>6</xdr:col>
      <xdr:colOff>381000</xdr:colOff>
      <xdr:row>4</xdr:row>
      <xdr:rowOff>31568</xdr:rowOff>
    </xdr:to>
    <xdr:sp macro="" textlink="">
      <xdr:nvSpPr>
        <xdr:cNvPr id="47" name="TextBox 46">
          <a:extLst>
            <a:ext uri="{FF2B5EF4-FFF2-40B4-BE49-F238E27FC236}">
              <a16:creationId xmlns:a16="http://schemas.microsoft.com/office/drawing/2014/main" id="{67CDF0DC-EF45-06C8-D561-56B642633237}"/>
            </a:ext>
          </a:extLst>
        </xdr:cNvPr>
        <xdr:cNvSpPr txBox="1"/>
      </xdr:nvSpPr>
      <xdr:spPr>
        <a:xfrm>
          <a:off x="1684020" y="432162"/>
          <a:ext cx="2354580" cy="339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65000"/>
                  <a:lumOff val="35000"/>
                </a:schemeClr>
              </a:solidFill>
            </a:rPr>
            <a:t>Sales Intelligence Dashboard</a:t>
          </a:r>
        </a:p>
      </xdr:txBody>
    </xdr:sp>
    <xdr:clientData/>
  </xdr:twoCellAnchor>
  <xdr:twoCellAnchor>
    <xdr:from>
      <xdr:col>9</xdr:col>
      <xdr:colOff>365760</xdr:colOff>
      <xdr:row>1</xdr:row>
      <xdr:rowOff>121920</xdr:rowOff>
    </xdr:from>
    <xdr:to>
      <xdr:col>11</xdr:col>
      <xdr:colOff>449580</xdr:colOff>
      <xdr:row>3</xdr:row>
      <xdr:rowOff>91440</xdr:rowOff>
    </xdr:to>
    <xdr:sp macro="" textlink="">
      <xdr:nvSpPr>
        <xdr:cNvPr id="48" name="TextBox 47">
          <a:extLst>
            <a:ext uri="{FF2B5EF4-FFF2-40B4-BE49-F238E27FC236}">
              <a16:creationId xmlns:a16="http://schemas.microsoft.com/office/drawing/2014/main" id="{3869DAEF-9AEA-4252-A307-E9987FBC6F1A}"/>
            </a:ext>
          </a:extLst>
        </xdr:cNvPr>
        <xdr:cNvSpPr txBox="1"/>
      </xdr:nvSpPr>
      <xdr:spPr>
        <a:xfrm>
          <a:off x="5852160" y="304800"/>
          <a:ext cx="1303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65000"/>
                  <a:lumOff val="35000"/>
                </a:schemeClr>
              </a:solidFill>
            </a:rPr>
            <a:t>Welcome</a:t>
          </a:r>
          <a:r>
            <a:rPr lang="en-US" sz="1400" baseline="0">
              <a:solidFill>
                <a:schemeClr val="tx1">
                  <a:lumMod val="65000"/>
                  <a:lumOff val="35000"/>
                </a:schemeClr>
              </a:solidFill>
            </a:rPr>
            <a:t> Back</a:t>
          </a:r>
        </a:p>
        <a:p>
          <a:endParaRPr lang="en-US" sz="1400">
            <a:solidFill>
              <a:schemeClr val="tx1">
                <a:lumMod val="65000"/>
                <a:lumOff val="35000"/>
              </a:schemeClr>
            </a:solidFill>
          </a:endParaRPr>
        </a:p>
      </xdr:txBody>
    </xdr:sp>
    <xdr:clientData/>
  </xdr:twoCellAnchor>
  <xdr:twoCellAnchor>
    <xdr:from>
      <xdr:col>16</xdr:col>
      <xdr:colOff>141514</xdr:colOff>
      <xdr:row>1</xdr:row>
      <xdr:rowOff>152401</xdr:rowOff>
    </xdr:from>
    <xdr:to>
      <xdr:col>17</xdr:col>
      <xdr:colOff>598714</xdr:colOff>
      <xdr:row>3</xdr:row>
      <xdr:rowOff>43544</xdr:rowOff>
    </xdr:to>
    <xdr:sp macro="" textlink="">
      <xdr:nvSpPr>
        <xdr:cNvPr id="49" name="Rectangle: Rounded Corners 48">
          <a:hlinkClick xmlns:r="http://schemas.openxmlformats.org/officeDocument/2006/relationships" r:id="rId7"/>
          <a:extLst>
            <a:ext uri="{FF2B5EF4-FFF2-40B4-BE49-F238E27FC236}">
              <a16:creationId xmlns:a16="http://schemas.microsoft.com/office/drawing/2014/main" id="{685F5260-FE05-10E8-1C95-5E74904B7204}"/>
            </a:ext>
          </a:extLst>
        </xdr:cNvPr>
        <xdr:cNvSpPr/>
      </xdr:nvSpPr>
      <xdr:spPr>
        <a:xfrm>
          <a:off x="9895114" y="337458"/>
          <a:ext cx="1066800" cy="261257"/>
        </a:xfrm>
        <a:prstGeom prst="roundRect">
          <a:avLst/>
        </a:prstGeom>
        <a:solidFill>
          <a:srgbClr val="00A388"/>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t>Report</a:t>
          </a:r>
        </a:p>
      </xdr:txBody>
    </xdr:sp>
    <xdr:clientData/>
  </xdr:twoCellAnchor>
  <xdr:twoCellAnchor>
    <xdr:from>
      <xdr:col>15</xdr:col>
      <xdr:colOff>434340</xdr:colOff>
      <xdr:row>7</xdr:row>
      <xdr:rowOff>144780</xdr:rowOff>
    </xdr:from>
    <xdr:to>
      <xdr:col>17</xdr:col>
      <xdr:colOff>472440</xdr:colOff>
      <xdr:row>10</xdr:row>
      <xdr:rowOff>68580</xdr:rowOff>
    </xdr:to>
    <xdr:sp macro="" textlink="Pivot!A8">
      <xdr:nvSpPr>
        <xdr:cNvPr id="50" name="Rectangle 49">
          <a:extLst>
            <a:ext uri="{FF2B5EF4-FFF2-40B4-BE49-F238E27FC236}">
              <a16:creationId xmlns:a16="http://schemas.microsoft.com/office/drawing/2014/main" id="{A5CAE05F-6342-14E4-5480-6CEDC6EF6395}"/>
            </a:ext>
          </a:extLst>
        </xdr:cNvPr>
        <xdr:cNvSpPr/>
      </xdr:nvSpPr>
      <xdr:spPr>
        <a:xfrm>
          <a:off x="9578340" y="1424940"/>
          <a:ext cx="1257300" cy="472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541954-A639-44B3-86C8-922B8520A7A2}" type="TxLink">
            <a:rPr lang="en-US" sz="1600" b="0" i="0" u="none" strike="noStrike">
              <a:solidFill>
                <a:srgbClr val="000000"/>
              </a:solidFill>
              <a:latin typeface="+mn-lt"/>
            </a:rPr>
            <a:pPr algn="ctr"/>
            <a:t> $8,290,887 </a:t>
          </a:fld>
          <a:endParaRPr lang="en-US" sz="1600" b="0">
            <a:latin typeface="+mn-lt"/>
          </a:endParaRPr>
        </a:p>
      </xdr:txBody>
    </xdr:sp>
    <xdr:clientData/>
  </xdr:twoCellAnchor>
  <xdr:twoCellAnchor>
    <xdr:from>
      <xdr:col>2</xdr:col>
      <xdr:colOff>368300</xdr:colOff>
      <xdr:row>7</xdr:row>
      <xdr:rowOff>144780</xdr:rowOff>
    </xdr:from>
    <xdr:to>
      <xdr:col>4</xdr:col>
      <xdr:colOff>406400</xdr:colOff>
      <xdr:row>10</xdr:row>
      <xdr:rowOff>68580</xdr:rowOff>
    </xdr:to>
    <xdr:sp macro="" textlink="Pivot!C8">
      <xdr:nvSpPr>
        <xdr:cNvPr id="51" name="Rectangle 50">
          <a:extLst>
            <a:ext uri="{FF2B5EF4-FFF2-40B4-BE49-F238E27FC236}">
              <a16:creationId xmlns:a16="http://schemas.microsoft.com/office/drawing/2014/main" id="{CE1F4DFF-B462-4F9F-AFD1-7F30F156BAEB}"/>
            </a:ext>
          </a:extLst>
        </xdr:cNvPr>
        <xdr:cNvSpPr/>
      </xdr:nvSpPr>
      <xdr:spPr>
        <a:xfrm>
          <a:off x="1587500" y="1424940"/>
          <a:ext cx="1257300" cy="472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5D943C6-D78B-4D4D-BA54-90BA70AAC829}" type="TxLink">
            <a:rPr lang="en-US" sz="1600" b="0" i="0" u="none" strike="noStrike">
              <a:solidFill>
                <a:srgbClr val="000000"/>
              </a:solidFill>
              <a:latin typeface="+mn-lt"/>
            </a:rPr>
            <a:pPr algn="ctr"/>
            <a:t>307</a:t>
          </a:fld>
          <a:endParaRPr lang="en-US" sz="1600" b="0">
            <a:latin typeface="+mn-lt"/>
          </a:endParaRPr>
        </a:p>
      </xdr:txBody>
    </xdr:sp>
    <xdr:clientData/>
  </xdr:twoCellAnchor>
  <xdr:twoCellAnchor>
    <xdr:from>
      <xdr:col>6</xdr:col>
      <xdr:colOff>593513</xdr:colOff>
      <xdr:row>7</xdr:row>
      <xdr:rowOff>144780</xdr:rowOff>
    </xdr:from>
    <xdr:to>
      <xdr:col>9</xdr:col>
      <xdr:colOff>22013</xdr:colOff>
      <xdr:row>10</xdr:row>
      <xdr:rowOff>68580</xdr:rowOff>
    </xdr:to>
    <xdr:sp macro="" textlink="Pivot!B8">
      <xdr:nvSpPr>
        <xdr:cNvPr id="52" name="Rectangle 51">
          <a:extLst>
            <a:ext uri="{FF2B5EF4-FFF2-40B4-BE49-F238E27FC236}">
              <a16:creationId xmlns:a16="http://schemas.microsoft.com/office/drawing/2014/main" id="{5E90F75B-EDA8-4F25-A1B4-5BAB59BFB262}"/>
            </a:ext>
          </a:extLst>
        </xdr:cNvPr>
        <xdr:cNvSpPr/>
      </xdr:nvSpPr>
      <xdr:spPr>
        <a:xfrm>
          <a:off x="4251113" y="1424940"/>
          <a:ext cx="1257300" cy="472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1A63F9-7B02-4350-B5FF-572E5A14ECCB}" type="TxLink">
            <a:rPr lang="en-US" sz="1600" b="0" i="0" u="none" strike="noStrike">
              <a:solidFill>
                <a:srgbClr val="000000"/>
              </a:solidFill>
              <a:latin typeface="+mn-lt"/>
            </a:rPr>
            <a:pPr algn="ctr"/>
            <a:t>99,067</a:t>
          </a:fld>
          <a:endParaRPr lang="en-US" sz="1600" b="0">
            <a:latin typeface="+mn-lt"/>
          </a:endParaRPr>
        </a:p>
      </xdr:txBody>
    </xdr:sp>
    <xdr:clientData/>
  </xdr:twoCellAnchor>
  <xdr:twoCellAnchor>
    <xdr:from>
      <xdr:col>11</xdr:col>
      <xdr:colOff>209126</xdr:colOff>
      <xdr:row>7</xdr:row>
      <xdr:rowOff>144780</xdr:rowOff>
    </xdr:from>
    <xdr:to>
      <xdr:col>13</xdr:col>
      <xdr:colOff>247226</xdr:colOff>
      <xdr:row>10</xdr:row>
      <xdr:rowOff>68580</xdr:rowOff>
    </xdr:to>
    <xdr:sp macro="" textlink="Pivot!D8">
      <xdr:nvSpPr>
        <xdr:cNvPr id="53" name="Rectangle 52">
          <a:extLst>
            <a:ext uri="{FF2B5EF4-FFF2-40B4-BE49-F238E27FC236}">
              <a16:creationId xmlns:a16="http://schemas.microsoft.com/office/drawing/2014/main" id="{2BFC877D-0FC9-48C6-8EF4-2ED35701FFAE}"/>
            </a:ext>
          </a:extLst>
        </xdr:cNvPr>
        <xdr:cNvSpPr/>
      </xdr:nvSpPr>
      <xdr:spPr>
        <a:xfrm>
          <a:off x="6914726" y="1424940"/>
          <a:ext cx="1257300" cy="472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1BF3000-E1EC-4649-B991-2578E7B7000C}" type="TxLink">
            <a:rPr lang="en-US" sz="1600" b="0" i="0" u="none" strike="noStrike">
              <a:solidFill>
                <a:srgbClr val="000000"/>
              </a:solidFill>
              <a:latin typeface="+mn-lt"/>
            </a:rPr>
            <a:pPr algn="ctr"/>
            <a:t>323</a:t>
          </a:fld>
          <a:endParaRPr lang="en-US" sz="1600" b="0">
            <a:latin typeface="+mn-lt"/>
          </a:endParaRPr>
        </a:p>
      </xdr:txBody>
    </xdr:sp>
    <xdr:clientData/>
  </xdr:twoCellAnchor>
  <xdr:twoCellAnchor>
    <xdr:from>
      <xdr:col>2</xdr:col>
      <xdr:colOff>350520</xdr:colOff>
      <xdr:row>6</xdr:row>
      <xdr:rowOff>45720</xdr:rowOff>
    </xdr:from>
    <xdr:to>
      <xdr:col>4</xdr:col>
      <xdr:colOff>388620</xdr:colOff>
      <xdr:row>7</xdr:row>
      <xdr:rowOff>121920</xdr:rowOff>
    </xdr:to>
    <xdr:sp macro="" textlink="">
      <xdr:nvSpPr>
        <xdr:cNvPr id="56" name="TextBox 55">
          <a:extLst>
            <a:ext uri="{FF2B5EF4-FFF2-40B4-BE49-F238E27FC236}">
              <a16:creationId xmlns:a16="http://schemas.microsoft.com/office/drawing/2014/main" id="{D9737447-755E-C6C7-0C32-B55CFDC7C9CC}"/>
            </a:ext>
          </a:extLst>
        </xdr:cNvPr>
        <xdr:cNvSpPr txBox="1"/>
      </xdr:nvSpPr>
      <xdr:spPr>
        <a:xfrm>
          <a:off x="1569720" y="1143000"/>
          <a:ext cx="12573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rgbClr val="252A34"/>
              </a:solidFill>
            </a:rPr>
            <a:t>#</a:t>
          </a:r>
          <a:r>
            <a:rPr lang="en-US" sz="1500" b="1" baseline="0">
              <a:solidFill>
                <a:srgbClr val="252A34"/>
              </a:solidFill>
            </a:rPr>
            <a:t> Of Orders</a:t>
          </a:r>
          <a:endParaRPr lang="en-US" sz="1500" b="1">
            <a:solidFill>
              <a:srgbClr val="252A34"/>
            </a:solidFill>
          </a:endParaRPr>
        </a:p>
      </xdr:txBody>
    </xdr:sp>
    <xdr:clientData/>
  </xdr:twoCellAnchor>
  <xdr:twoCellAnchor>
    <xdr:from>
      <xdr:col>6</xdr:col>
      <xdr:colOff>571500</xdr:colOff>
      <xdr:row>6</xdr:row>
      <xdr:rowOff>45720</xdr:rowOff>
    </xdr:from>
    <xdr:to>
      <xdr:col>9</xdr:col>
      <xdr:colOff>0</xdr:colOff>
      <xdr:row>7</xdr:row>
      <xdr:rowOff>121920</xdr:rowOff>
    </xdr:to>
    <xdr:sp macro="" textlink="">
      <xdr:nvSpPr>
        <xdr:cNvPr id="57" name="TextBox 56">
          <a:extLst>
            <a:ext uri="{FF2B5EF4-FFF2-40B4-BE49-F238E27FC236}">
              <a16:creationId xmlns:a16="http://schemas.microsoft.com/office/drawing/2014/main" id="{0F656DF7-70FD-4D5D-B513-57982E2B4FBB}"/>
            </a:ext>
          </a:extLst>
        </xdr:cNvPr>
        <xdr:cNvSpPr txBox="1"/>
      </xdr:nvSpPr>
      <xdr:spPr>
        <a:xfrm>
          <a:off x="4229100" y="1143000"/>
          <a:ext cx="12573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rgbClr val="252A34"/>
              </a:solidFill>
            </a:rPr>
            <a:t>QTY</a:t>
          </a:r>
          <a:r>
            <a:rPr lang="en-US" sz="1500" b="1" baseline="0">
              <a:solidFill>
                <a:srgbClr val="252A34"/>
              </a:solidFill>
            </a:rPr>
            <a:t> Sold</a:t>
          </a:r>
          <a:endParaRPr lang="en-US" sz="1500" b="1">
            <a:solidFill>
              <a:srgbClr val="252A34"/>
            </a:solidFill>
          </a:endParaRPr>
        </a:p>
      </xdr:txBody>
    </xdr:sp>
    <xdr:clientData/>
  </xdr:twoCellAnchor>
  <xdr:twoCellAnchor>
    <xdr:from>
      <xdr:col>11</xdr:col>
      <xdr:colOff>30480</xdr:colOff>
      <xdr:row>6</xdr:row>
      <xdr:rowOff>45720</xdr:rowOff>
    </xdr:from>
    <xdr:to>
      <xdr:col>13</xdr:col>
      <xdr:colOff>495300</xdr:colOff>
      <xdr:row>7</xdr:row>
      <xdr:rowOff>121920</xdr:rowOff>
    </xdr:to>
    <xdr:sp macro="" textlink="">
      <xdr:nvSpPr>
        <xdr:cNvPr id="58" name="TextBox 57">
          <a:extLst>
            <a:ext uri="{FF2B5EF4-FFF2-40B4-BE49-F238E27FC236}">
              <a16:creationId xmlns:a16="http://schemas.microsoft.com/office/drawing/2014/main" id="{F107225C-0021-43D5-B742-2C88E5EE640C}"/>
            </a:ext>
          </a:extLst>
        </xdr:cNvPr>
        <xdr:cNvSpPr txBox="1"/>
      </xdr:nvSpPr>
      <xdr:spPr>
        <a:xfrm>
          <a:off x="6736080" y="1143000"/>
          <a:ext cx="16840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rgbClr val="252A34"/>
              </a:solidFill>
            </a:rPr>
            <a:t>Avg Qty</a:t>
          </a:r>
          <a:r>
            <a:rPr lang="en-US" sz="1500" b="1" baseline="0">
              <a:solidFill>
                <a:srgbClr val="252A34"/>
              </a:solidFill>
            </a:rPr>
            <a:t> Per Order</a:t>
          </a:r>
          <a:endParaRPr lang="en-US" sz="1500" b="1">
            <a:solidFill>
              <a:srgbClr val="252A34"/>
            </a:solidFill>
          </a:endParaRPr>
        </a:p>
      </xdr:txBody>
    </xdr:sp>
    <xdr:clientData/>
  </xdr:twoCellAnchor>
  <xdr:twoCellAnchor>
    <xdr:from>
      <xdr:col>15</xdr:col>
      <xdr:colOff>441960</xdr:colOff>
      <xdr:row>6</xdr:row>
      <xdr:rowOff>45720</xdr:rowOff>
    </xdr:from>
    <xdr:to>
      <xdr:col>17</xdr:col>
      <xdr:colOff>480060</xdr:colOff>
      <xdr:row>7</xdr:row>
      <xdr:rowOff>121920</xdr:rowOff>
    </xdr:to>
    <xdr:sp macro="" textlink="">
      <xdr:nvSpPr>
        <xdr:cNvPr id="59" name="TextBox 58">
          <a:extLst>
            <a:ext uri="{FF2B5EF4-FFF2-40B4-BE49-F238E27FC236}">
              <a16:creationId xmlns:a16="http://schemas.microsoft.com/office/drawing/2014/main" id="{58D4C305-0778-4EA3-9BEE-009149645A78}"/>
            </a:ext>
          </a:extLst>
        </xdr:cNvPr>
        <xdr:cNvSpPr txBox="1"/>
      </xdr:nvSpPr>
      <xdr:spPr>
        <a:xfrm>
          <a:off x="9585960" y="1143000"/>
          <a:ext cx="12573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rgbClr val="252A34"/>
              </a:solidFill>
            </a:rPr>
            <a:t>Revenue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 refreshedDate="45985.783816782408" backgroundQuery="1" createdVersion="8" refreshedVersion="8" minRefreshableVersion="3" recordCount="0" supportSubquery="1" supportAdvancedDrill="1" xr:uid="{D96F2FAA-6943-4373-BB44-A9590639493A}">
  <cacheSource type="external" connectionId="4"/>
  <cacheFields count="7">
    <cacheField name="[Measures].[Total Revenue]" caption="Total Revenue" numFmtId="0" hierarchy="27" level="32767"/>
    <cacheField name="[Measures].[Rev LQ]" caption="Rev LQ" numFmtId="0" hierarchy="28" level="32767"/>
    <cacheField name="[Sales Data].[Product line].[Product line]" caption="Product line" numFmtId="0" hierarchy="15" level="1">
      <sharedItems count="7">
        <s v="Classic Cars"/>
        <s v="Motorcycles"/>
        <s v="Planes"/>
        <s v="Ships"/>
        <s v="Trains"/>
        <s v="Trucks and Buses"/>
        <s v="Vintage Cars"/>
      </sharedItems>
      <extLst>
        <ext xmlns:x15="http://schemas.microsoft.com/office/spreadsheetml/2010/11/main" uri="{4F2E5C28-24EA-4eb8-9CBF-B6C8F9C3D259}">
          <x15:cachedUniqueNames>
            <x15:cachedUniqueName index="0" name="[Sales Data].[Product line].&amp;[Classic Cars]"/>
            <x15:cachedUniqueName index="1" name="[Sales Data].[Product line].&amp;[Motorcycles]"/>
            <x15:cachedUniqueName index="2" name="[Sales Data].[Product line].&amp;[Planes]"/>
            <x15:cachedUniqueName index="3" name="[Sales Data].[Product line].&amp;[Ships]"/>
            <x15:cachedUniqueName index="4" name="[Sales Data].[Product line].&amp;[Trains]"/>
            <x15:cachedUniqueName index="5" name="[Sales Data].[Product line].&amp;[Trucks and Buses]"/>
            <x15:cachedUniqueName index="6" name="[Sales Data].[Product line].&amp;[Vintage Cars]"/>
          </x15:cachedUniqueNames>
        </ext>
      </extLst>
    </cacheField>
    <cacheField name="[Calendar].[Year].[Year]" caption="Year" numFmtId="0" hierarchy="3" level="1">
      <sharedItems containsSemiMixedTypes="0" containsString="0" containsNumber="1" containsInteger="1" minValue="2003" maxValue="2005" count="3">
        <n v="2003"/>
        <n v="2004"/>
        <n v="2005"/>
      </sharedItems>
      <extLst>
        <ext xmlns:x15="http://schemas.microsoft.com/office/spreadsheetml/2010/11/main" uri="{4F2E5C28-24EA-4eb8-9CBF-B6C8F9C3D259}">
          <x15:cachedUniqueNames>
            <x15:cachedUniqueName index="0" name="[Calendar].[Year].&amp;[2003]"/>
            <x15:cachedUniqueName index="1" name="[Calendar].[Year].&amp;[2004]"/>
            <x15:cachedUniqueName index="2" name="[Calendar].[Year].&amp;[2005]"/>
          </x15:cachedUniqueNames>
        </ext>
      </extLst>
    </cacheField>
    <cacheField name="[Calendar].[Quarter].[Quarter]" caption="Quarter" numFmtId="0" hierarchy="6" level="1">
      <sharedItems count="4">
        <s v="Q1"/>
        <s v="Q2"/>
        <s v="Q3"/>
        <s v="Q4"/>
      </sharedItems>
      <extLst>
        <ext xmlns:x15="http://schemas.microsoft.com/office/spreadsheetml/2010/11/main" uri="{4F2E5C28-24EA-4eb8-9CBF-B6C8F9C3D259}">
          <x15:cachedUniqueNames>
            <x15:cachedUniqueName index="0" name="[Calendar].[Quarter].&amp;[Q1]"/>
            <x15:cachedUniqueName index="1" name="[Calendar].[Quarter].&amp;[Q2]"/>
            <x15:cachedUniqueName index="2" name="[Calendar].[Quarter].&amp;[Q3]"/>
            <x15:cachedUniqueName index="3" name="[Calendar].[Quarter].&amp;[Q4]"/>
          </x15:cachedUniqueNames>
        </ext>
      </extLst>
    </cacheField>
    <cacheField name="[Measures].[Var vs LQ]" caption="Var vs LQ" numFmtId="0" hierarchy="29" level="32767"/>
    <cacheField name="[Measures].[QoQ %]" caption="QoQ %" numFmtId="0" hierarchy="30" level="32767"/>
  </cacheFields>
  <cacheHierarchies count="45">
    <cacheHierarchy uniqueName="[A].[M]" caption="M" attribute="1" defaultMemberUniqueName="[A].[M].[All]" allUniqueName="[A].[M].[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20" unbalanced="0"/>
    <cacheHierarchy uniqueName="[Sales Data].[Orderlinenumber]" caption="Orderlinenumber" attribute="1" defaultMemberUniqueName="[Sales Data].[Orderlinenumber].[All]" allUniqueName="[Sales Data].[Orderlinenumber].[All]" dimensionUniqueName="[Sales Data]" displayFolder="" count="0" memberValueDatatype="20" unbalanced="0"/>
    <cacheHierarchy uniqueName="[Sales Data].[Quantity Ordered]" caption="Quantity Ordered" attribute="1" defaultMemberUniqueName="[Sales Data].[Quantity Ordered].[All]" allUniqueName="[Sales Data].[Quantity Ordered].[All]" dimensionUniqueName="[Sales Data]" displayFolder="" count="0" memberValueDatatype="20" unbalanced="0"/>
    <cacheHierarchy uniqueName="[Sales Data].[Price Each]" caption="Price Each" attribute="1" defaultMemberUniqueName="[Sales Data].[Price Each].[All]" allUniqueName="[Sales Data].[Price Each].[All]" dimensionUniqueName="[Sales Data]"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atus]" caption="Status" attribute="1" defaultMemberUniqueName="[Sales Data].[Status].[All]" allUniqueName="[Sales Data].[Status].[All]" dimensionUniqueName="[Sales Data]" displayFolder="" count="0" memberValueDatatype="130" unbalanced="0"/>
    <cacheHierarchy uniqueName="[Sales Data].[Product line]" caption="Product line" attribute="1" defaultMemberUniqueName="[Sales Data].[Product line].[All]" allUniqueName="[Sales Data].[Product line].[All]" dimensionUniqueName="[Sales Data]" displayFolder="" count="2" memberValueDatatype="130" unbalanced="0">
      <fieldsUsage count="2">
        <fieldUsage x="-1"/>
        <fieldUsage x="2"/>
      </fieldsUsage>
    </cacheHierarchy>
    <cacheHierarchy uniqueName="[Sales Data].[Msrp]" caption="Msrp" attribute="1" defaultMemberUniqueName="[Sales Data].[Msrp].[All]" allUniqueName="[Sales Data].[Msrp].[All]" dimensionUniqueName="[Sales Data]" displayFolder="" count="0" memberValueDatatype="20" unbalanced="0"/>
    <cacheHierarchy uniqueName="[Sales Data].[Productcode]" caption="Productcode" attribute="1" defaultMemberUniqueName="[Sales Data].[Productcode].[All]" allUniqueName="[Sales Data].[Productcode].[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0" memberValueDatatype="130" unbalanced="0"/>
    <cacheHierarchy uniqueName="[Sales Data].[Territory]" caption="Territory" attribute="1" defaultMemberUniqueName="[Sales Data].[Territory].[All]" allUniqueName="[Sales Data].[Territory].[All]" dimensionUniqueName="[Sales Data]" displayFolder="" count="0" memberValueDatatype="130" unbalanced="0"/>
    <cacheHierarchy uniqueName="[Sales Data].[Contactfirstname]" caption="Contactfirstname" attribute="1" defaultMemberUniqueName="[Sales Data].[Contactfirstname].[All]" allUniqueName="[Sales Data].[Contactfirstname].[All]" dimensionUniqueName="[Sales Data]" displayFolder="" count="0" memberValueDatatype="130" unbalanced="0"/>
    <cacheHierarchy uniqueName="[Sales Data].[Contactlastname]" caption="Contactlastname" attribute="1" defaultMemberUniqueName="[Sales Data].[Contactlastname].[All]" allUniqueName="[Sales Data].[Contactlastname].[All]" dimensionUniqueName="[Sales Data]" displayFolder="" count="0" memberValueDatatype="130" unbalanced="0"/>
    <cacheHierarchy uniqueName="[Sales Data].[Dealsize]" caption="Dealsize" attribute="1" defaultMemberUniqueName="[Sales Data].[Dealsize].[All]" allUniqueName="[Sales Data].[Dealsize].[All]" dimensionUniqueName="[Sales Data]" displayFolder="" count="0" memberValueDatatype="130" unbalanced="0"/>
    <cacheHierarchy uniqueName="[Sales Data].[Total Sales]" caption="Total Sales" attribute="1" defaultMemberUniqueName="[Sales Data].[Total Sales].[All]" allUniqueName="[Sales Data].[Total Sales].[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hidden="1"/>
    <cacheHierarchy uniqueName="[Measures].[Total Revenue]" caption="Total Revenue" measure="1" displayFolder="" measureGroup="A" count="0" oneField="1">
      <fieldsUsage count="1">
        <fieldUsage x="0"/>
      </fieldsUsage>
    </cacheHierarchy>
    <cacheHierarchy uniqueName="[Measures].[Rev LQ]" caption="Rev LQ" measure="1" displayFolder="" measureGroup="A" count="0" oneField="1">
      <fieldsUsage count="1">
        <fieldUsage x="1"/>
      </fieldsUsage>
    </cacheHierarchy>
    <cacheHierarchy uniqueName="[Measures].[Var vs LQ]" caption="Var vs LQ" measure="1" displayFolder="" measureGroup="A" count="0" oneField="1">
      <fieldsUsage count="1">
        <fieldUsage x="5"/>
      </fieldsUsage>
    </cacheHierarchy>
    <cacheHierarchy uniqueName="[Measures].[QoQ %]" caption="QoQ %" measure="1" displayFolder="" measureGroup="A" count="0" oneField="1">
      <fieldsUsage count="1">
        <fieldUsage x="6"/>
      </fieldsUsage>
    </cacheHierarchy>
    <cacheHierarchy uniqueName="[Measures].[Kpi lessthan20000]" caption="Kpi lessthan20000" measure="1" displayFolder="" measureGroup="A" count="0"/>
    <cacheHierarchy uniqueName="[Measures].[Qty Sold]" caption="Qty Sold" measure="1" displayFolder="" measureGroup="A" count="0"/>
    <cacheHierarchy uniqueName="[Measures].[Avg Price]" caption="Avg Price" measure="1" displayFolder="" measureGroup="A" count="0"/>
    <cacheHierarchy uniqueName="[Measures].[# of Order]" caption="# of Order" measure="1" displayFolder="" measureGroup="A" count="0"/>
    <cacheHierarchy uniqueName="[Measures].[Avg Qty Per Order]" caption="Avg Qty Per Order" measure="1" displayFolder="" measureGroup="A" count="0"/>
    <cacheHierarchy uniqueName="[Measures].[Chk_Top10_Date]" caption="Chk_Top10_Date" measure="1" displayFolder="" measureGroup="A" count="0"/>
    <cacheHierarchy uniqueName="[Measures].[QTD]" caption="QTD" measure="1" displayFolder="" measureGroup="A" count="0"/>
    <cacheHierarchy uniqueName="[Measures].[QTD LQ]" caption="QTD LQ" measure="1" displayFolder="" measureGroup="A" count="0"/>
    <cacheHierarchy uniqueName="[Measures].[Var QTD vs LQ]" caption="Var QTD vs LQ" measure="1" displayFolder="" measureGroup="A" count="0"/>
    <cacheHierarchy uniqueName="[Measures].[Qty Sold Vs LQ]" caption="Qty Sold Vs LQ" measure="1" displayFolder="" measureGroup="A" count="0"/>
    <cacheHierarchy uniqueName="[Measures].[__XL_Count Sales Data]" caption="__XL_Count Sales Data" measure="1" displayFolder="" measureGroup="Sales 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measure="1" name="Measures" uniqueName="[Measures]" caption="Measures"/>
    <dimension name="Sales Data" uniqueName="[Sales Data]" caption="Sales Data"/>
  </dimensions>
  <measureGroups count="3">
    <measureGroup name="A" caption="A"/>
    <measureGroup name="Calendar" caption="Calendar"/>
    <measureGroup name="Sales Data" caption="Sales Data"/>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 refreshedDate="45985.78381828704" backgroundQuery="1" createdVersion="8" refreshedVersion="8" minRefreshableVersion="3" recordCount="0" supportSubquery="1" supportAdvancedDrill="1" xr:uid="{A0DDAA15-F750-4B55-9B81-148068F150A7}">
  <cacheSource type="external" connectionId="4"/>
  <cacheFields count="6">
    <cacheField name="[Measures].[Total Revenue]" caption="Total Revenue" numFmtId="0" hierarchy="27" level="32767"/>
    <cacheField name="[Measures].[Rev LQ]" caption="Rev LQ" numFmtId="0" hierarchy="28" level="32767"/>
    <cacheField name="[Calendar].[Year].[Year]" caption="Year" numFmtId="0" hierarchy="3" level="1">
      <sharedItems containsSemiMixedTypes="0" containsString="0" containsNumber="1" containsInteger="1" minValue="2003" maxValue="2005" count="3">
        <n v="2003"/>
        <n v="2004"/>
        <n v="2005"/>
      </sharedItems>
      <extLst>
        <ext xmlns:x15="http://schemas.microsoft.com/office/spreadsheetml/2010/11/main" uri="{4F2E5C28-24EA-4eb8-9CBF-B6C8F9C3D259}">
          <x15:cachedUniqueNames>
            <x15:cachedUniqueName index="0" name="[Calendar].[Year].&amp;[2003]"/>
            <x15:cachedUniqueName index="1" name="[Calendar].[Year].&amp;[2004]"/>
            <x15:cachedUniqueName index="2" name="[Calendar].[Year].&amp;[2005]"/>
          </x15:cachedUniqueNames>
        </ext>
      </extLst>
    </cacheField>
    <cacheField name="[Calendar].[Quarter].[Quarter]" caption="Quarter" numFmtId="0" hierarchy="6" level="1">
      <sharedItems count="4">
        <s v="Q1"/>
        <s v="Q2"/>
        <s v="Q3"/>
        <s v="Q4"/>
      </sharedItems>
      <extLst>
        <ext xmlns:x15="http://schemas.microsoft.com/office/spreadsheetml/2010/11/main" uri="{4F2E5C28-24EA-4eb8-9CBF-B6C8F9C3D259}">
          <x15:cachedUniqueNames>
            <x15:cachedUniqueName index="0" name="[Calendar].[Quarter].&amp;[Q1]"/>
            <x15:cachedUniqueName index="1" name="[Calendar].[Quarter].&amp;[Q2]"/>
            <x15:cachedUniqueName index="2" name="[Calendar].[Quarter].&amp;[Q3]"/>
            <x15:cachedUniqueName index="3" name="[Calendar].[Quarter].&amp;[Q4]"/>
          </x15:cachedUniqueNames>
        </ext>
      </extLst>
    </cacheField>
    <cacheField name="[Measures].[Var vs LQ]" caption="Var vs LQ" numFmtId="0" hierarchy="29" level="32767"/>
    <cacheField name="[Measures].[QoQ %]" caption="QoQ %" numFmtId="0" hierarchy="30" level="32767"/>
  </cacheFields>
  <cacheHierarchies count="45">
    <cacheHierarchy uniqueName="[A].[M]" caption="M" attribute="1" defaultMemberUniqueName="[A].[M].[All]" allUniqueName="[A].[M].[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20" unbalanced="0"/>
    <cacheHierarchy uniqueName="[Sales Data].[Orderlinenumber]" caption="Orderlinenumber" attribute="1" defaultMemberUniqueName="[Sales Data].[Orderlinenumber].[All]" allUniqueName="[Sales Data].[Orderlinenumber].[All]" dimensionUniqueName="[Sales Data]" displayFolder="" count="0" memberValueDatatype="20" unbalanced="0"/>
    <cacheHierarchy uniqueName="[Sales Data].[Quantity Ordered]" caption="Quantity Ordered" attribute="1" defaultMemberUniqueName="[Sales Data].[Quantity Ordered].[All]" allUniqueName="[Sales Data].[Quantity Ordered].[All]" dimensionUniqueName="[Sales Data]" displayFolder="" count="0" memberValueDatatype="20" unbalanced="0"/>
    <cacheHierarchy uniqueName="[Sales Data].[Price Each]" caption="Price Each" attribute="1" defaultMemberUniqueName="[Sales Data].[Price Each].[All]" allUniqueName="[Sales Data].[Price Each].[All]" dimensionUniqueName="[Sales Data]"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atus]" caption="Status" attribute="1" defaultMemberUniqueName="[Sales Data].[Status].[All]" allUniqueName="[Sales Data].[Status].[All]" dimensionUniqueName="[Sales Data]" displayFolder="" count="0" memberValueDatatype="130" unbalanced="0"/>
    <cacheHierarchy uniqueName="[Sales Data].[Product line]" caption="Product line" attribute="1" defaultMemberUniqueName="[Sales Data].[Product line].[All]" allUniqueName="[Sales Data].[Product line].[All]" dimensionUniqueName="[Sales Data]" displayFolder="" count="0" memberValueDatatype="130" unbalanced="0"/>
    <cacheHierarchy uniqueName="[Sales Data].[Msrp]" caption="Msrp" attribute="1" defaultMemberUniqueName="[Sales Data].[Msrp].[All]" allUniqueName="[Sales Data].[Msrp].[All]" dimensionUniqueName="[Sales Data]" displayFolder="" count="0" memberValueDatatype="20" unbalanced="0"/>
    <cacheHierarchy uniqueName="[Sales Data].[Productcode]" caption="Productcode" attribute="1" defaultMemberUniqueName="[Sales Data].[Productcode].[All]" allUniqueName="[Sales Data].[Productcode].[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0" memberValueDatatype="130" unbalanced="0"/>
    <cacheHierarchy uniqueName="[Sales Data].[Territory]" caption="Territory" attribute="1" defaultMemberUniqueName="[Sales Data].[Territory].[All]" allUniqueName="[Sales Data].[Territory].[All]" dimensionUniqueName="[Sales Data]" displayFolder="" count="0" memberValueDatatype="130" unbalanced="0"/>
    <cacheHierarchy uniqueName="[Sales Data].[Contactfirstname]" caption="Contactfirstname" attribute="1" defaultMemberUniqueName="[Sales Data].[Contactfirstname].[All]" allUniqueName="[Sales Data].[Contactfirstname].[All]" dimensionUniqueName="[Sales Data]" displayFolder="" count="0" memberValueDatatype="130" unbalanced="0"/>
    <cacheHierarchy uniqueName="[Sales Data].[Contactlastname]" caption="Contactlastname" attribute="1" defaultMemberUniqueName="[Sales Data].[Contactlastname].[All]" allUniqueName="[Sales Data].[Contactlastname].[All]" dimensionUniqueName="[Sales Data]" displayFolder="" count="0" memberValueDatatype="130" unbalanced="0"/>
    <cacheHierarchy uniqueName="[Sales Data].[Dealsize]" caption="Dealsize" attribute="1" defaultMemberUniqueName="[Sales Data].[Dealsize].[All]" allUniqueName="[Sales Data].[Dealsize].[All]" dimensionUniqueName="[Sales Data]" displayFolder="" count="0" memberValueDatatype="130" unbalanced="0"/>
    <cacheHierarchy uniqueName="[Sales Data].[Total Sales]" caption="Total Sales" attribute="1" defaultMemberUniqueName="[Sales Data].[Total Sales].[All]" allUniqueName="[Sales Data].[Total Sales].[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hidden="1"/>
    <cacheHierarchy uniqueName="[Measures].[Total Revenue]" caption="Total Revenue" measure="1" displayFolder="" measureGroup="A" count="0" oneField="1">
      <fieldsUsage count="1">
        <fieldUsage x="0"/>
      </fieldsUsage>
    </cacheHierarchy>
    <cacheHierarchy uniqueName="[Measures].[Rev LQ]" caption="Rev LQ" measure="1" displayFolder="" measureGroup="A" count="0" oneField="1">
      <fieldsUsage count="1">
        <fieldUsage x="1"/>
      </fieldsUsage>
    </cacheHierarchy>
    <cacheHierarchy uniqueName="[Measures].[Var vs LQ]" caption="Var vs LQ" measure="1" displayFolder="" measureGroup="A" count="0" oneField="1">
      <fieldsUsage count="1">
        <fieldUsage x="4"/>
      </fieldsUsage>
    </cacheHierarchy>
    <cacheHierarchy uniqueName="[Measures].[QoQ %]" caption="QoQ %" measure="1" displayFolder="" measureGroup="A" count="0" oneField="1">
      <fieldsUsage count="1">
        <fieldUsage x="5"/>
      </fieldsUsage>
    </cacheHierarchy>
    <cacheHierarchy uniqueName="[Measures].[Kpi lessthan20000]" caption="Kpi lessthan20000" measure="1" displayFolder="" measureGroup="A" count="0"/>
    <cacheHierarchy uniqueName="[Measures].[Qty Sold]" caption="Qty Sold" measure="1" displayFolder="" measureGroup="A" count="0"/>
    <cacheHierarchy uniqueName="[Measures].[Avg Price]" caption="Avg Price" measure="1" displayFolder="" measureGroup="A" count="0"/>
    <cacheHierarchy uniqueName="[Measures].[# of Order]" caption="# of Order" measure="1" displayFolder="" measureGroup="A" count="0"/>
    <cacheHierarchy uniqueName="[Measures].[Avg Qty Per Order]" caption="Avg Qty Per Order" measure="1" displayFolder="" measureGroup="A" count="0"/>
    <cacheHierarchy uniqueName="[Measures].[Chk_Top10_Date]" caption="Chk_Top10_Date" measure="1" displayFolder="" measureGroup="A" count="0"/>
    <cacheHierarchy uniqueName="[Measures].[QTD]" caption="QTD" measure="1" displayFolder="" measureGroup="A" count="0"/>
    <cacheHierarchy uniqueName="[Measures].[QTD LQ]" caption="QTD LQ" measure="1" displayFolder="" measureGroup="A" count="0"/>
    <cacheHierarchy uniqueName="[Measures].[Var QTD vs LQ]" caption="Var QTD vs LQ" measure="1" displayFolder="" measureGroup="A" count="0"/>
    <cacheHierarchy uniqueName="[Measures].[Qty Sold Vs LQ]" caption="Qty Sold Vs LQ" measure="1" displayFolder="" measureGroup="A" count="0"/>
    <cacheHierarchy uniqueName="[Measures].[__XL_Count Sales Data]" caption="__XL_Count Sales Data" measure="1" displayFolder="" measureGroup="Sales 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measure="1" name="Measures" uniqueName="[Measures]" caption="Measures"/>
    <dimension name="Sales Data" uniqueName="[Sales Data]" caption="Sales Data"/>
  </dimensions>
  <measureGroups count="3">
    <measureGroup name="A" caption="A"/>
    <measureGroup name="Calendar" caption="Calendar"/>
    <measureGroup name="Sales Data" caption="Sales Data"/>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 refreshedDate="45985.783845370373" backgroundQuery="1" createdVersion="8" refreshedVersion="8" minRefreshableVersion="3" recordCount="0" supportSubquery="1" supportAdvancedDrill="1" xr:uid="{90ED840B-3F5A-41CE-A12D-98327EF47BB3}">
  <cacheSource type="external" connectionId="4"/>
  <cacheFields count="4">
    <cacheField name="[Measures].[Total Revenue]" caption="Total Revenue" numFmtId="0" hierarchy="27" level="32767"/>
    <cacheField name="[Sales Data].[Country].[Country]" caption="Country" numFmtId="0" hierarchy="20" level="1">
      <sharedItems count="19">
        <s v="Australia"/>
        <s v="Austria"/>
        <s v="Belgium"/>
        <s v="Canada"/>
        <s v="Denmark"/>
        <s v="Finland"/>
        <s v="France"/>
        <s v="Germany"/>
        <s v="Ireland"/>
        <s v="Italy"/>
        <s v="Japan"/>
        <s v="Norway"/>
        <s v="Philippines"/>
        <s v="Singapore"/>
        <s v="Spain"/>
        <s v="Sweden"/>
        <s v="Switzerland"/>
        <s v="UK"/>
        <s v="USA"/>
      </sharedItems>
      <extLst>
        <ext xmlns:x15="http://schemas.microsoft.com/office/spreadsheetml/2010/11/main" uri="{4F2E5C28-24EA-4eb8-9CBF-B6C8F9C3D259}">
          <x15:cachedUniqueNames>
            <x15:cachedUniqueName index="0" name="[Sales Data].[Country].&amp;[Australia]"/>
            <x15:cachedUniqueName index="1" name="[Sales Data].[Country].&amp;[Austria]"/>
            <x15:cachedUniqueName index="2" name="[Sales Data].[Country].&amp;[Belgium]"/>
            <x15:cachedUniqueName index="3" name="[Sales Data].[Country].&amp;[Canada]"/>
            <x15:cachedUniqueName index="4" name="[Sales Data].[Country].&amp;[Denmark]"/>
            <x15:cachedUniqueName index="5" name="[Sales Data].[Country].&amp;[Finland]"/>
            <x15:cachedUniqueName index="6" name="[Sales Data].[Country].&amp;[France]"/>
            <x15:cachedUniqueName index="7" name="[Sales Data].[Country].&amp;[Germany]"/>
            <x15:cachedUniqueName index="8" name="[Sales Data].[Country].&amp;[Ireland]"/>
            <x15:cachedUniqueName index="9" name="[Sales Data].[Country].&amp;[Italy]"/>
            <x15:cachedUniqueName index="10" name="[Sales Data].[Country].&amp;[Japan]"/>
            <x15:cachedUniqueName index="11" name="[Sales Data].[Country].&amp;[Norway]"/>
            <x15:cachedUniqueName index="12" name="[Sales Data].[Country].&amp;[Philippines]"/>
            <x15:cachedUniqueName index="13" name="[Sales Data].[Country].&amp;[Singapore]"/>
            <x15:cachedUniqueName index="14" name="[Sales Data].[Country].&amp;[Spain]"/>
            <x15:cachedUniqueName index="15" name="[Sales Data].[Country].&amp;[Sweden]"/>
            <x15:cachedUniqueName index="16" name="[Sales Data].[Country].&amp;[Switzerland]"/>
            <x15:cachedUniqueName index="17" name="[Sales Data].[Country].&amp;[UK]"/>
            <x15:cachedUniqueName index="18" name="[Sales Data].[Country].&amp;[USA]"/>
          </x15:cachedUniqueNames>
        </ext>
      </extLst>
    </cacheField>
    <cacheField name="[Sales Data].[Customer Name].[Customer Name]" caption="Customer Name" numFmtId="0" hierarchy="18" level="1">
      <sharedItems count="10">
        <s v="Australian Collectors, Co"/>
        <s v="AV Stores, Co"/>
        <s v="Dragon Souveniers, Ltd"/>
        <s v="Euro Shopping Channel"/>
        <s v="La Rochelle Gifts"/>
        <s v="Land of Toys Inc"/>
        <s v="Mini Gifts Distributors Ltd"/>
        <s v="Muscle Machine Inc"/>
        <s v="Souveniers And Things Co"/>
        <s v="The Sharp Gifts Warehouse"/>
      </sharedItems>
      <extLst>
        <ext xmlns:x15="http://schemas.microsoft.com/office/spreadsheetml/2010/11/main" uri="{4F2E5C28-24EA-4eb8-9CBF-B6C8F9C3D259}">
          <x15:cachedUniqueNames>
            <x15:cachedUniqueName index="0" name="[Sales Data].[Customer Name].&amp;[Australian Collectors, Co]"/>
            <x15:cachedUniqueName index="1" name="[Sales Data].[Customer Name].&amp;[AV Stores, Co]"/>
            <x15:cachedUniqueName index="2" name="[Sales Data].[Customer Name].&amp;[Dragon Souveniers, Ltd]"/>
            <x15:cachedUniqueName index="3" name="[Sales Data].[Customer Name].&amp;[Euro Shopping Channel]"/>
            <x15:cachedUniqueName index="4" name="[Sales Data].[Customer Name].&amp;[La Rochelle Gifts]"/>
            <x15:cachedUniqueName index="5" name="[Sales Data].[Customer Name].&amp;[Land of Toys Inc]"/>
            <x15:cachedUniqueName index="6" name="[Sales Data].[Customer Name].&amp;[Mini Gifts Distributors Ltd]"/>
            <x15:cachedUniqueName index="7" name="[Sales Data].[Customer Name].&amp;[Muscle Machine Inc]"/>
            <x15:cachedUniqueName index="8" name="[Sales Data].[Customer Name].&amp;[Souveniers And Things Co]"/>
            <x15:cachedUniqueName index="9" name="[Sales Data].[Customer Name].&amp;[The Sharp Gifts Warehouse]"/>
          </x15:cachedUniqueNames>
        </ext>
      </extLst>
    </cacheField>
    <cacheField name="[Calendar].[Year].[Year]" caption="Year" numFmtId="0" hierarchy="3" level="1">
      <sharedItems containsSemiMixedTypes="0" containsNonDate="0" containsString="0"/>
    </cacheField>
  </cacheFields>
  <cacheHierarchies count="45">
    <cacheHierarchy uniqueName="[A].[M]" caption="M" attribute="1" defaultMemberUniqueName="[A].[M].[All]" allUniqueName="[A].[M].[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20" unbalanced="0"/>
    <cacheHierarchy uniqueName="[Sales Data].[Orderlinenumber]" caption="Orderlinenumber" attribute="1" defaultMemberUniqueName="[Sales Data].[Orderlinenumber].[All]" allUniqueName="[Sales Data].[Orderlinenumber].[All]" dimensionUniqueName="[Sales Data]" displayFolder="" count="0" memberValueDatatype="20" unbalanced="0"/>
    <cacheHierarchy uniqueName="[Sales Data].[Quantity Ordered]" caption="Quantity Ordered" attribute="1" defaultMemberUniqueName="[Sales Data].[Quantity Ordered].[All]" allUniqueName="[Sales Data].[Quantity Ordered].[All]" dimensionUniqueName="[Sales Data]" displayFolder="" count="0" memberValueDatatype="20" unbalanced="0"/>
    <cacheHierarchy uniqueName="[Sales Data].[Price Each]" caption="Price Each" attribute="1" defaultMemberUniqueName="[Sales Data].[Price Each].[All]" allUniqueName="[Sales Data].[Price Each].[All]" dimensionUniqueName="[Sales Data]"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atus]" caption="Status" attribute="1" defaultMemberUniqueName="[Sales Data].[Status].[All]" allUniqueName="[Sales Data].[Status].[All]" dimensionUniqueName="[Sales Data]" displayFolder="" count="0" memberValueDatatype="130" unbalanced="0"/>
    <cacheHierarchy uniqueName="[Sales Data].[Product line]" caption="Product line" attribute="1" defaultMemberUniqueName="[Sales Data].[Product line].[All]" allUniqueName="[Sales Data].[Product line].[All]" dimensionUniqueName="[Sales Data]" displayFolder="" count="0" memberValueDatatype="130" unbalanced="0"/>
    <cacheHierarchy uniqueName="[Sales Data].[Msrp]" caption="Msrp" attribute="1" defaultMemberUniqueName="[Sales Data].[Msrp].[All]" allUniqueName="[Sales Data].[Msrp].[All]" dimensionUniqueName="[Sales Data]" displayFolder="" count="0" memberValueDatatype="20" unbalanced="0"/>
    <cacheHierarchy uniqueName="[Sales Data].[Productcode]" caption="Productcode" attribute="1" defaultMemberUniqueName="[Sales Data].[Productcode].[All]" allUniqueName="[Sales Data].[Productcode].[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2" memberValueDatatype="130" unbalanced="0">
      <fieldsUsage count="2">
        <fieldUsage x="-1"/>
        <fieldUsage x="2"/>
      </fieldsUsage>
    </cacheHierarchy>
    <cacheHierarchy uniqueName="[Sales Data].[City]" caption="City" attribute="1" defaultMemberUniqueName="[Sales Data].[City].[All]" allUniqueName="[Sales Data].[City].[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2" memberValueDatatype="130" unbalanced="0">
      <fieldsUsage count="2">
        <fieldUsage x="-1"/>
        <fieldUsage x="1"/>
      </fieldsUsage>
    </cacheHierarchy>
    <cacheHierarchy uniqueName="[Sales Data].[Territory]" caption="Territory" attribute="1" defaultMemberUniqueName="[Sales Data].[Territory].[All]" allUniqueName="[Sales Data].[Territory].[All]" dimensionUniqueName="[Sales Data]" displayFolder="" count="0" memberValueDatatype="130" unbalanced="0"/>
    <cacheHierarchy uniqueName="[Sales Data].[Contactfirstname]" caption="Contactfirstname" attribute="1" defaultMemberUniqueName="[Sales Data].[Contactfirstname].[All]" allUniqueName="[Sales Data].[Contactfirstname].[All]" dimensionUniqueName="[Sales Data]" displayFolder="" count="0" memberValueDatatype="130" unbalanced="0"/>
    <cacheHierarchy uniqueName="[Sales Data].[Contactlastname]" caption="Contactlastname" attribute="1" defaultMemberUniqueName="[Sales Data].[Contactlastname].[All]" allUniqueName="[Sales Data].[Contactlastname].[All]" dimensionUniqueName="[Sales Data]" displayFolder="" count="0" memberValueDatatype="130" unbalanced="0"/>
    <cacheHierarchy uniqueName="[Sales Data].[Dealsize]" caption="Dealsize" attribute="1" defaultMemberUniqueName="[Sales Data].[Dealsize].[All]" allUniqueName="[Sales Data].[Dealsize].[All]" dimensionUniqueName="[Sales Data]" displayFolder="" count="0" memberValueDatatype="130" unbalanced="0"/>
    <cacheHierarchy uniqueName="[Sales Data].[Total Sales]" caption="Total Sales" attribute="1" defaultMemberUniqueName="[Sales Data].[Total Sales].[All]" allUniqueName="[Sales Data].[Total Sales].[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hidden="1"/>
    <cacheHierarchy uniqueName="[Measures].[Total Revenue]" caption="Total Revenue" measure="1" displayFolder="" measureGroup="A" count="0" oneField="1">
      <fieldsUsage count="1">
        <fieldUsage x="0"/>
      </fieldsUsage>
    </cacheHierarchy>
    <cacheHierarchy uniqueName="[Measures].[Rev LQ]" caption="Rev LQ" measure="1" displayFolder="" measureGroup="A" count="0"/>
    <cacheHierarchy uniqueName="[Measures].[Var vs LQ]" caption="Var vs LQ" measure="1" displayFolder="" measureGroup="A" count="0"/>
    <cacheHierarchy uniqueName="[Measures].[QoQ %]" caption="QoQ %" measure="1" displayFolder="" measureGroup="A" count="0"/>
    <cacheHierarchy uniqueName="[Measures].[Kpi lessthan20000]" caption="Kpi lessthan20000" measure="1" displayFolder="" measureGroup="A" count="0"/>
    <cacheHierarchy uniqueName="[Measures].[Qty Sold]" caption="Qty Sold" measure="1" displayFolder="" measureGroup="A" count="0"/>
    <cacheHierarchy uniqueName="[Measures].[Avg Price]" caption="Avg Price" measure="1" displayFolder="" measureGroup="A" count="0"/>
    <cacheHierarchy uniqueName="[Measures].[# of Order]" caption="# of Order" measure="1" displayFolder="" measureGroup="A" count="0"/>
    <cacheHierarchy uniqueName="[Measures].[Avg Qty Per Order]" caption="Avg Qty Per Order" measure="1" displayFolder="" measureGroup="A" count="0"/>
    <cacheHierarchy uniqueName="[Measures].[Chk_Top10_Date]" caption="Chk_Top10_Date" measure="1" displayFolder="" measureGroup="A" count="0"/>
    <cacheHierarchy uniqueName="[Measures].[QTD]" caption="QTD" measure="1" displayFolder="" measureGroup="A" count="0"/>
    <cacheHierarchy uniqueName="[Measures].[QTD LQ]" caption="QTD LQ" measure="1" displayFolder="" measureGroup="A" count="0"/>
    <cacheHierarchy uniqueName="[Measures].[Var QTD vs LQ]" caption="Var QTD vs LQ" measure="1" displayFolder="" measureGroup="A" count="0"/>
    <cacheHierarchy uniqueName="[Measures].[Qty Sold Vs LQ]" caption="Qty Sold Vs LQ" measure="1" displayFolder="" measureGroup="A" count="0"/>
    <cacheHierarchy uniqueName="[Measures].[__XL_Count Sales Data]" caption="__XL_Count Sales Data" measure="1" displayFolder="" measureGroup="Sales 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measure="1" name="Measures" uniqueName="[Measures]" caption="Measures"/>
    <dimension name="Sales Data" uniqueName="[Sales Data]" caption="Sales Data"/>
  </dimensions>
  <measureGroups count="3">
    <measureGroup name="A" caption="A"/>
    <measureGroup name="Calendar" caption="Calendar"/>
    <measureGroup name="Sales Data" caption="Sales Data"/>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 refreshedDate="45985.800599768518" backgroundQuery="1" createdVersion="8" refreshedVersion="8" minRefreshableVersion="3" recordCount="0" supportSubquery="1" supportAdvancedDrill="1" xr:uid="{1F970532-35BC-4433-9E6D-F09B00CBC316}">
  <cacheSource type="external" connectionId="4"/>
  <cacheFields count="4">
    <cacheField name="[Calendar].[Year].[Year]" caption="Year" numFmtId="0" hierarchy="3" level="1">
      <sharedItems containsSemiMixedTypes="0" containsString="0" containsNumber="1" containsInteger="1" minValue="2003" maxValue="2005" count="3">
        <n v="2003"/>
        <n v="2004"/>
        <n v="2005"/>
      </sharedItems>
      <extLst>
        <ext xmlns:x15="http://schemas.microsoft.com/office/spreadsheetml/2010/11/main" uri="{4F2E5C28-24EA-4eb8-9CBF-B6C8F9C3D259}">
          <x15:cachedUniqueNames>
            <x15:cachedUniqueName index="0" name="[Calendar].[Year].&amp;[2003]"/>
            <x15:cachedUniqueName index="1" name="[Calendar].[Year].&amp;[2004]"/>
            <x15:cachedUniqueName index="2" name="[Calendar].[Year].&amp;[2005]"/>
          </x15:cachedUniqueNames>
        </ext>
      </extLst>
    </cacheField>
    <cacheField name="[Calendar].[Month].[Month]" caption="Month" numFmtId="0" hierarchy="5"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Calendar].[Month].&amp;[Jan]"/>
            <x15:cachedUniqueName index="1" name="[Calendar].[Month].&amp;[Feb]"/>
            <x15:cachedUniqueName index="2" name="[Calendar].[Month].&amp;[Mar]"/>
            <x15:cachedUniqueName index="3" name="[Calendar].[Month].&amp;[Apr]"/>
            <x15:cachedUniqueName index="4" name="[Calendar].[Month].&amp;[May]"/>
            <x15:cachedUniqueName index="5" name="[Calendar].[Month].&amp;[Jun]"/>
            <x15:cachedUniqueName index="6" name="[Calendar].[Month].&amp;[Jul]"/>
            <x15:cachedUniqueName index="7" name="[Calendar].[Month].&amp;[Aug]"/>
            <x15:cachedUniqueName index="8" name="[Calendar].[Month].&amp;[Sep]"/>
            <x15:cachedUniqueName index="9" name="[Calendar].[Month].&amp;[Oct]"/>
            <x15:cachedUniqueName index="10" name="[Calendar].[Month].&amp;[Nov]"/>
            <x15:cachedUniqueName index="11" name="[Calendar].[Month].&amp;[Dec]"/>
          </x15:cachedUniqueNames>
        </ext>
      </extLst>
    </cacheField>
    <cacheField name="[Measures].[Total Revenue]" caption="Total Revenue" numFmtId="0" hierarchy="27" level="32767"/>
    <cacheField name="[Sales Data].[Country].[Country]" caption="Country" numFmtId="0" hierarchy="20" level="1">
      <sharedItems containsSemiMixedTypes="0" containsNonDate="0" containsString="0"/>
    </cacheField>
  </cacheFields>
  <cacheHierarchies count="45">
    <cacheHierarchy uniqueName="[A].[M]" caption="M" attribute="1" defaultMemberUniqueName="[A].[M].[All]" allUniqueName="[A].[M].[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20" unbalanced="0"/>
    <cacheHierarchy uniqueName="[Sales Data].[Orderlinenumber]" caption="Orderlinenumber" attribute="1" defaultMemberUniqueName="[Sales Data].[Orderlinenumber].[All]" allUniqueName="[Sales Data].[Orderlinenumber].[All]" dimensionUniqueName="[Sales Data]" displayFolder="" count="0" memberValueDatatype="20" unbalanced="0"/>
    <cacheHierarchy uniqueName="[Sales Data].[Quantity Ordered]" caption="Quantity Ordered" attribute="1" defaultMemberUniqueName="[Sales Data].[Quantity Ordered].[All]" allUniqueName="[Sales Data].[Quantity Ordered].[All]" dimensionUniqueName="[Sales Data]" displayFolder="" count="0" memberValueDatatype="20" unbalanced="0"/>
    <cacheHierarchy uniqueName="[Sales Data].[Price Each]" caption="Price Each" attribute="1" defaultMemberUniqueName="[Sales Data].[Price Each].[All]" allUniqueName="[Sales Data].[Price Each].[All]" dimensionUniqueName="[Sales Data]"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atus]" caption="Status" attribute="1" defaultMemberUniqueName="[Sales Data].[Status].[All]" allUniqueName="[Sales Data].[Status].[All]" dimensionUniqueName="[Sales Data]" displayFolder="" count="0" memberValueDatatype="130" unbalanced="0"/>
    <cacheHierarchy uniqueName="[Sales Data].[Product line]" caption="Product line" attribute="1" defaultMemberUniqueName="[Sales Data].[Product line].[All]" allUniqueName="[Sales Data].[Product line].[All]" dimensionUniqueName="[Sales Data]" displayFolder="" count="0" memberValueDatatype="130" unbalanced="0"/>
    <cacheHierarchy uniqueName="[Sales Data].[Msrp]" caption="Msrp" attribute="1" defaultMemberUniqueName="[Sales Data].[Msrp].[All]" allUniqueName="[Sales Data].[Msrp].[All]" dimensionUniqueName="[Sales Data]" displayFolder="" count="0" memberValueDatatype="20" unbalanced="0"/>
    <cacheHierarchy uniqueName="[Sales Data].[Productcode]" caption="Productcode" attribute="1" defaultMemberUniqueName="[Sales Data].[Productcode].[All]" allUniqueName="[Sales Data].[Productcode].[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2" memberValueDatatype="130" unbalanced="0">
      <fieldsUsage count="2">
        <fieldUsage x="-1"/>
        <fieldUsage x="3"/>
      </fieldsUsage>
    </cacheHierarchy>
    <cacheHierarchy uniqueName="[Sales Data].[Territory]" caption="Territory" attribute="1" defaultMemberUniqueName="[Sales Data].[Territory].[All]" allUniqueName="[Sales Data].[Territory].[All]" dimensionUniqueName="[Sales Data]" displayFolder="" count="0" memberValueDatatype="130" unbalanced="0"/>
    <cacheHierarchy uniqueName="[Sales Data].[Contactfirstname]" caption="Contactfirstname" attribute="1" defaultMemberUniqueName="[Sales Data].[Contactfirstname].[All]" allUniqueName="[Sales Data].[Contactfirstname].[All]" dimensionUniqueName="[Sales Data]" displayFolder="" count="0" memberValueDatatype="130" unbalanced="0"/>
    <cacheHierarchy uniqueName="[Sales Data].[Contactlastname]" caption="Contactlastname" attribute="1" defaultMemberUniqueName="[Sales Data].[Contactlastname].[All]" allUniqueName="[Sales Data].[Contactlastname].[All]" dimensionUniqueName="[Sales Data]" displayFolder="" count="0" memberValueDatatype="130" unbalanced="0"/>
    <cacheHierarchy uniqueName="[Sales Data].[Dealsize]" caption="Dealsize" attribute="1" defaultMemberUniqueName="[Sales Data].[Dealsize].[All]" allUniqueName="[Sales Data].[Dealsize].[All]" dimensionUniqueName="[Sales Data]" displayFolder="" count="0" memberValueDatatype="130" unbalanced="0"/>
    <cacheHierarchy uniqueName="[Sales Data].[Total Sales]" caption="Total Sales" attribute="1" defaultMemberUniqueName="[Sales Data].[Total Sales].[All]" allUniqueName="[Sales Data].[Total Sales].[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hidden="1"/>
    <cacheHierarchy uniqueName="[Measures].[Total Revenue]" caption="Total Revenue" measure="1" displayFolder="" measureGroup="A" count="0" oneField="1">
      <fieldsUsage count="1">
        <fieldUsage x="2"/>
      </fieldsUsage>
    </cacheHierarchy>
    <cacheHierarchy uniqueName="[Measures].[Rev LQ]" caption="Rev LQ" measure="1" displayFolder="" measureGroup="A" count="0"/>
    <cacheHierarchy uniqueName="[Measures].[Var vs LQ]" caption="Var vs LQ" measure="1" displayFolder="" measureGroup="A" count="0"/>
    <cacheHierarchy uniqueName="[Measures].[QoQ %]" caption="QoQ %" measure="1" displayFolder="" measureGroup="A" count="0"/>
    <cacheHierarchy uniqueName="[Measures].[Kpi lessthan20000]" caption="Kpi lessthan20000" measure="1" displayFolder="" measureGroup="A" count="0"/>
    <cacheHierarchy uniqueName="[Measures].[Qty Sold]" caption="Qty Sold" measure="1" displayFolder="" measureGroup="A" count="0"/>
    <cacheHierarchy uniqueName="[Measures].[Avg Price]" caption="Avg Price" measure="1" displayFolder="" measureGroup="A" count="0"/>
    <cacheHierarchy uniqueName="[Measures].[# of Order]" caption="# of Order" measure="1" displayFolder="" measureGroup="A" count="0"/>
    <cacheHierarchy uniqueName="[Measures].[Avg Qty Per Order]" caption="Avg Qty Per Order" measure="1" displayFolder="" measureGroup="A" count="0"/>
    <cacheHierarchy uniqueName="[Measures].[Chk_Top10_Date]" caption="Chk_Top10_Date" measure="1" displayFolder="" measureGroup="A" count="0"/>
    <cacheHierarchy uniqueName="[Measures].[QTD]" caption="QTD" measure="1" displayFolder="" measureGroup="A" count="0"/>
    <cacheHierarchy uniqueName="[Measures].[QTD LQ]" caption="QTD LQ" measure="1" displayFolder="" measureGroup="A" count="0"/>
    <cacheHierarchy uniqueName="[Measures].[Var QTD vs LQ]" caption="Var QTD vs LQ" measure="1" displayFolder="" measureGroup="A" count="0"/>
    <cacheHierarchy uniqueName="[Measures].[Qty Sold Vs LQ]" caption="Qty Sold Vs LQ" measure="1" displayFolder="" measureGroup="A" count="0"/>
    <cacheHierarchy uniqueName="[Measures].[__XL_Count Sales Data]" caption="__XL_Count Sales Data" measure="1" displayFolder="" measureGroup="Sales 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measure="1" name="Measures" uniqueName="[Measures]" caption="Measures"/>
    <dimension name="Sales Data" uniqueName="[Sales Data]" caption="Sales Data"/>
  </dimensions>
  <measureGroups count="3">
    <measureGroup name="A" caption="A"/>
    <measureGroup name="Calendar" caption="Calendar"/>
    <measureGroup name="Sales Data" caption="Sales Data"/>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 refreshedDate="45985.800600115741" backgroundQuery="1" createdVersion="8" refreshedVersion="8" minRefreshableVersion="3" recordCount="0" supportSubquery="1" supportAdvancedDrill="1" xr:uid="{BD7A2C81-042A-4D7B-8571-571DF3508A26}">
  <cacheSource type="external" connectionId="4"/>
  <cacheFields count="3">
    <cacheField name="[Sales Data].[Status].[Status]" caption="Status" numFmtId="0" hierarchy="14" level="1">
      <sharedItems count="6">
        <s v="Cancelled"/>
        <s v="Disputed"/>
        <s v="In Process"/>
        <s v="On Hold"/>
        <s v="Resolved"/>
        <s v="Shipped"/>
      </sharedItems>
      <extLst>
        <ext xmlns:x15="http://schemas.microsoft.com/office/spreadsheetml/2010/11/main" uri="{4F2E5C28-24EA-4eb8-9CBF-B6C8F9C3D259}">
          <x15:cachedUniqueNames>
            <x15:cachedUniqueName index="0" name="[Sales Data].[Status].&amp;[Cancelled]"/>
            <x15:cachedUniqueName index="1" name="[Sales Data].[Status].&amp;[Disputed]"/>
            <x15:cachedUniqueName index="2" name="[Sales Data].[Status].&amp;[In Process]"/>
            <x15:cachedUniqueName index="3" name="[Sales Data].[Status].&amp;[On Hold]"/>
            <x15:cachedUniqueName index="4" name="[Sales Data].[Status].&amp;[Resolved]"/>
            <x15:cachedUniqueName index="5" name="[Sales Data].[Status].&amp;[Shipped]"/>
          </x15:cachedUniqueNames>
        </ext>
      </extLst>
    </cacheField>
    <cacheField name="[Measures].[Qty Sold]" caption="Qty Sold" numFmtId="0" hierarchy="32" level="32767"/>
    <cacheField name="[Sales Data].[Country].[Country]" caption="Country" numFmtId="0" hierarchy="20" level="1">
      <sharedItems containsSemiMixedTypes="0" containsNonDate="0" containsString="0"/>
    </cacheField>
  </cacheFields>
  <cacheHierarchies count="45">
    <cacheHierarchy uniqueName="[A].[M]" caption="M" attribute="1" defaultMemberUniqueName="[A].[M].[All]" allUniqueName="[A].[M].[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20" unbalanced="0"/>
    <cacheHierarchy uniqueName="[Sales Data].[Orderlinenumber]" caption="Orderlinenumber" attribute="1" defaultMemberUniqueName="[Sales Data].[Orderlinenumber].[All]" allUniqueName="[Sales Data].[Orderlinenumber].[All]" dimensionUniqueName="[Sales Data]" displayFolder="" count="0" memberValueDatatype="20" unbalanced="0"/>
    <cacheHierarchy uniqueName="[Sales Data].[Quantity Ordered]" caption="Quantity Ordered" attribute="1" defaultMemberUniqueName="[Sales Data].[Quantity Ordered].[All]" allUniqueName="[Sales Data].[Quantity Ordered].[All]" dimensionUniqueName="[Sales Data]" displayFolder="" count="0" memberValueDatatype="20" unbalanced="0"/>
    <cacheHierarchy uniqueName="[Sales Data].[Price Each]" caption="Price Each" attribute="1" defaultMemberUniqueName="[Sales Data].[Price Each].[All]" allUniqueName="[Sales Data].[Price Each].[All]" dimensionUniqueName="[Sales Data]"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atus]" caption="Status" attribute="1" defaultMemberUniqueName="[Sales Data].[Status].[All]" allUniqueName="[Sales Data].[Status].[All]" dimensionUniqueName="[Sales Data]" displayFolder="" count="2" memberValueDatatype="130" unbalanced="0">
      <fieldsUsage count="2">
        <fieldUsage x="-1"/>
        <fieldUsage x="0"/>
      </fieldsUsage>
    </cacheHierarchy>
    <cacheHierarchy uniqueName="[Sales Data].[Product line]" caption="Product line" attribute="1" defaultMemberUniqueName="[Sales Data].[Product line].[All]" allUniqueName="[Sales Data].[Product line].[All]" dimensionUniqueName="[Sales Data]" displayFolder="" count="0" memberValueDatatype="130" unbalanced="0"/>
    <cacheHierarchy uniqueName="[Sales Data].[Msrp]" caption="Msrp" attribute="1" defaultMemberUniqueName="[Sales Data].[Msrp].[All]" allUniqueName="[Sales Data].[Msrp].[All]" dimensionUniqueName="[Sales Data]" displayFolder="" count="0" memberValueDatatype="20" unbalanced="0"/>
    <cacheHierarchy uniqueName="[Sales Data].[Productcode]" caption="Productcode" attribute="1" defaultMemberUniqueName="[Sales Data].[Productcode].[All]" allUniqueName="[Sales Data].[Productcode].[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2" memberValueDatatype="130" unbalanced="0">
      <fieldsUsage count="2">
        <fieldUsage x="-1"/>
        <fieldUsage x="2"/>
      </fieldsUsage>
    </cacheHierarchy>
    <cacheHierarchy uniqueName="[Sales Data].[Territory]" caption="Territory" attribute="1" defaultMemberUniqueName="[Sales Data].[Territory].[All]" allUniqueName="[Sales Data].[Territory].[All]" dimensionUniqueName="[Sales Data]" displayFolder="" count="0" memberValueDatatype="130" unbalanced="0"/>
    <cacheHierarchy uniqueName="[Sales Data].[Contactfirstname]" caption="Contactfirstname" attribute="1" defaultMemberUniqueName="[Sales Data].[Contactfirstname].[All]" allUniqueName="[Sales Data].[Contactfirstname].[All]" dimensionUniqueName="[Sales Data]" displayFolder="" count="0" memberValueDatatype="130" unbalanced="0"/>
    <cacheHierarchy uniqueName="[Sales Data].[Contactlastname]" caption="Contactlastname" attribute="1" defaultMemberUniqueName="[Sales Data].[Contactlastname].[All]" allUniqueName="[Sales Data].[Contactlastname].[All]" dimensionUniqueName="[Sales Data]" displayFolder="" count="0" memberValueDatatype="130" unbalanced="0"/>
    <cacheHierarchy uniqueName="[Sales Data].[Dealsize]" caption="Dealsize" attribute="1" defaultMemberUniqueName="[Sales Data].[Dealsize].[All]" allUniqueName="[Sales Data].[Dealsize].[All]" dimensionUniqueName="[Sales Data]" displayFolder="" count="0" memberValueDatatype="130" unbalanced="0"/>
    <cacheHierarchy uniqueName="[Sales Data].[Total Sales]" caption="Total Sales" attribute="1" defaultMemberUniqueName="[Sales Data].[Total Sales].[All]" allUniqueName="[Sales Data].[Total Sales].[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hidden="1"/>
    <cacheHierarchy uniqueName="[Measures].[Total Revenue]" caption="Total Revenue" measure="1" displayFolder="" measureGroup="A" count="0"/>
    <cacheHierarchy uniqueName="[Measures].[Rev LQ]" caption="Rev LQ" measure="1" displayFolder="" measureGroup="A" count="0"/>
    <cacheHierarchy uniqueName="[Measures].[Var vs LQ]" caption="Var vs LQ" measure="1" displayFolder="" measureGroup="A" count="0"/>
    <cacheHierarchy uniqueName="[Measures].[QoQ %]" caption="QoQ %" measure="1" displayFolder="" measureGroup="A" count="0"/>
    <cacheHierarchy uniqueName="[Measures].[Kpi lessthan20000]" caption="Kpi lessthan20000" measure="1" displayFolder="" measureGroup="A" count="0"/>
    <cacheHierarchy uniqueName="[Measures].[Qty Sold]" caption="Qty Sold" measure="1" displayFolder="" measureGroup="A" count="0" oneField="1">
      <fieldsUsage count="1">
        <fieldUsage x="1"/>
      </fieldsUsage>
    </cacheHierarchy>
    <cacheHierarchy uniqueName="[Measures].[Avg Price]" caption="Avg Price" measure="1" displayFolder="" measureGroup="A" count="0"/>
    <cacheHierarchy uniqueName="[Measures].[# of Order]" caption="# of Order" measure="1" displayFolder="" measureGroup="A" count="0"/>
    <cacheHierarchy uniqueName="[Measures].[Avg Qty Per Order]" caption="Avg Qty Per Order" measure="1" displayFolder="" measureGroup="A" count="0"/>
    <cacheHierarchy uniqueName="[Measures].[Chk_Top10_Date]" caption="Chk_Top10_Date" measure="1" displayFolder="" measureGroup="A" count="0"/>
    <cacheHierarchy uniqueName="[Measures].[QTD]" caption="QTD" measure="1" displayFolder="" measureGroup="A" count="0"/>
    <cacheHierarchy uniqueName="[Measures].[QTD LQ]" caption="QTD LQ" measure="1" displayFolder="" measureGroup="A" count="0"/>
    <cacheHierarchy uniqueName="[Measures].[Var QTD vs LQ]" caption="Var QTD vs LQ" measure="1" displayFolder="" measureGroup="A" count="0"/>
    <cacheHierarchy uniqueName="[Measures].[Qty Sold Vs LQ]" caption="Qty Sold Vs LQ" measure="1" displayFolder="" measureGroup="A" count="0"/>
    <cacheHierarchy uniqueName="[Measures].[__XL_Count Sales Data]" caption="__XL_Count Sales Data" measure="1" displayFolder="" measureGroup="Sales 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measure="1" name="Measures" uniqueName="[Measures]" caption="Measures"/>
    <dimension name="Sales Data" uniqueName="[Sales Data]" caption="Sales Data"/>
  </dimensions>
  <measureGroups count="3">
    <measureGroup name="A" caption="A"/>
    <measureGroup name="Calendar" caption="Calendar"/>
    <measureGroup name="Sales Data" caption="Sales Data"/>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 refreshedDate="45985.800600578703" backgroundQuery="1" createdVersion="8" refreshedVersion="8" minRefreshableVersion="3" recordCount="0" supportSubquery="1" supportAdvancedDrill="1" xr:uid="{47CB1404-EAC4-4C42-8D7B-4FA300E9227F}">
  <cacheSource type="external" connectionId="4"/>
  <cacheFields count="3">
    <cacheField name="[Measures].[Total Revenue]" caption="Total Revenue" numFmtId="0" hierarchy="27" level="32767"/>
    <cacheField name="[Sales Data].[Country].[Country]" caption="Country" numFmtId="0" hierarchy="20" level="1">
      <sharedItems count="19">
        <s v="Australia"/>
        <s v="Austria"/>
        <s v="Belgium"/>
        <s v="Canada"/>
        <s v="Denmark"/>
        <s v="Finland"/>
        <s v="France"/>
        <s v="Germany"/>
        <s v="Ireland"/>
        <s v="Italy"/>
        <s v="Japan"/>
        <s v="Norway"/>
        <s v="Philippines"/>
        <s v="Singapore"/>
        <s v="Spain"/>
        <s v="Sweden"/>
        <s v="Switzerland"/>
        <s v="UK"/>
        <s v="USA"/>
      </sharedItems>
      <extLst>
        <ext xmlns:x15="http://schemas.microsoft.com/office/spreadsheetml/2010/11/main" uri="{4F2E5C28-24EA-4eb8-9CBF-B6C8F9C3D259}">
          <x15:cachedUniqueNames>
            <x15:cachedUniqueName index="0" name="[Sales Data].[Country].&amp;[Australia]"/>
            <x15:cachedUniqueName index="1" name="[Sales Data].[Country].&amp;[Austria]"/>
            <x15:cachedUniqueName index="2" name="[Sales Data].[Country].&amp;[Belgium]"/>
            <x15:cachedUniqueName index="3" name="[Sales Data].[Country].&amp;[Canada]"/>
            <x15:cachedUniqueName index="4" name="[Sales Data].[Country].&amp;[Denmark]"/>
            <x15:cachedUniqueName index="5" name="[Sales Data].[Country].&amp;[Finland]"/>
            <x15:cachedUniqueName index="6" name="[Sales Data].[Country].&amp;[France]"/>
            <x15:cachedUniqueName index="7" name="[Sales Data].[Country].&amp;[Germany]"/>
            <x15:cachedUniqueName index="8" name="[Sales Data].[Country].&amp;[Ireland]"/>
            <x15:cachedUniqueName index="9" name="[Sales Data].[Country].&amp;[Italy]"/>
            <x15:cachedUniqueName index="10" name="[Sales Data].[Country].&amp;[Japan]"/>
            <x15:cachedUniqueName index="11" name="[Sales Data].[Country].&amp;[Norway]"/>
            <x15:cachedUniqueName index="12" name="[Sales Data].[Country].&amp;[Philippines]"/>
            <x15:cachedUniqueName index="13" name="[Sales Data].[Country].&amp;[Singapore]"/>
            <x15:cachedUniqueName index="14" name="[Sales Data].[Country].&amp;[Spain]"/>
            <x15:cachedUniqueName index="15" name="[Sales Data].[Country].&amp;[Sweden]"/>
            <x15:cachedUniqueName index="16" name="[Sales Data].[Country].&amp;[Switzerland]"/>
            <x15:cachedUniqueName index="17" name="[Sales Data].[Country].&amp;[UK]"/>
            <x15:cachedUniqueName index="18" name="[Sales Data].[Country].&amp;[USA]"/>
          </x15:cachedUniqueNames>
        </ext>
      </extLst>
    </cacheField>
    <cacheField name="[Measures].[Kpi lessthan20000]" caption="Kpi lessthan20000" numFmtId="0" hierarchy="31" level="32767"/>
  </cacheFields>
  <cacheHierarchies count="45">
    <cacheHierarchy uniqueName="[A].[M]" caption="M" attribute="1" defaultMemberUniqueName="[A].[M].[All]" allUniqueName="[A].[M].[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20" unbalanced="0"/>
    <cacheHierarchy uniqueName="[Sales Data].[Orderlinenumber]" caption="Orderlinenumber" attribute="1" defaultMemberUniqueName="[Sales Data].[Orderlinenumber].[All]" allUniqueName="[Sales Data].[Orderlinenumber].[All]" dimensionUniqueName="[Sales Data]" displayFolder="" count="0" memberValueDatatype="20" unbalanced="0"/>
    <cacheHierarchy uniqueName="[Sales Data].[Quantity Ordered]" caption="Quantity Ordered" attribute="1" defaultMemberUniqueName="[Sales Data].[Quantity Ordered].[All]" allUniqueName="[Sales Data].[Quantity Ordered].[All]" dimensionUniqueName="[Sales Data]" displayFolder="" count="0" memberValueDatatype="20" unbalanced="0"/>
    <cacheHierarchy uniqueName="[Sales Data].[Price Each]" caption="Price Each" attribute="1" defaultMemberUniqueName="[Sales Data].[Price Each].[All]" allUniqueName="[Sales Data].[Price Each].[All]" dimensionUniqueName="[Sales Data]"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atus]" caption="Status" attribute="1" defaultMemberUniqueName="[Sales Data].[Status].[All]" allUniqueName="[Sales Data].[Status].[All]" dimensionUniqueName="[Sales Data]" displayFolder="" count="0" memberValueDatatype="130" unbalanced="0"/>
    <cacheHierarchy uniqueName="[Sales Data].[Product line]" caption="Product line" attribute="1" defaultMemberUniqueName="[Sales Data].[Product line].[All]" allUniqueName="[Sales Data].[Product line].[All]" dimensionUniqueName="[Sales Data]" displayFolder="" count="0" memberValueDatatype="130" unbalanced="0"/>
    <cacheHierarchy uniqueName="[Sales Data].[Msrp]" caption="Msrp" attribute="1" defaultMemberUniqueName="[Sales Data].[Msrp].[All]" allUniqueName="[Sales Data].[Msrp].[All]" dimensionUniqueName="[Sales Data]" displayFolder="" count="0" memberValueDatatype="20" unbalanced="0"/>
    <cacheHierarchy uniqueName="[Sales Data].[Productcode]" caption="Productcode" attribute="1" defaultMemberUniqueName="[Sales Data].[Productcode].[All]" allUniqueName="[Sales Data].[Productcode].[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2" memberValueDatatype="130" unbalanced="0">
      <fieldsUsage count="2">
        <fieldUsage x="-1"/>
        <fieldUsage x="1"/>
      </fieldsUsage>
    </cacheHierarchy>
    <cacheHierarchy uniqueName="[Sales Data].[Territory]" caption="Territory" attribute="1" defaultMemberUniqueName="[Sales Data].[Territory].[All]" allUniqueName="[Sales Data].[Territory].[All]" dimensionUniqueName="[Sales Data]" displayFolder="" count="0" memberValueDatatype="130" unbalanced="0"/>
    <cacheHierarchy uniqueName="[Sales Data].[Contactfirstname]" caption="Contactfirstname" attribute="1" defaultMemberUniqueName="[Sales Data].[Contactfirstname].[All]" allUniqueName="[Sales Data].[Contactfirstname].[All]" dimensionUniqueName="[Sales Data]" displayFolder="" count="0" memberValueDatatype="130" unbalanced="0"/>
    <cacheHierarchy uniqueName="[Sales Data].[Contactlastname]" caption="Contactlastname" attribute="1" defaultMemberUniqueName="[Sales Data].[Contactlastname].[All]" allUniqueName="[Sales Data].[Contactlastname].[All]" dimensionUniqueName="[Sales Data]" displayFolder="" count="0" memberValueDatatype="130" unbalanced="0"/>
    <cacheHierarchy uniqueName="[Sales Data].[Dealsize]" caption="Dealsize" attribute="1" defaultMemberUniqueName="[Sales Data].[Dealsize].[All]" allUniqueName="[Sales Data].[Dealsize].[All]" dimensionUniqueName="[Sales Data]" displayFolder="" count="0" memberValueDatatype="130" unbalanced="0"/>
    <cacheHierarchy uniqueName="[Sales Data].[Total Sales]" caption="Total Sales" attribute="1" defaultMemberUniqueName="[Sales Data].[Total Sales].[All]" allUniqueName="[Sales Data].[Total Sales].[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hidden="1"/>
    <cacheHierarchy uniqueName="[Measures].[Total Revenue]" caption="Total Revenue" measure="1" displayFolder="" measureGroup="A" count="0" oneField="1">
      <fieldsUsage count="1">
        <fieldUsage x="0"/>
      </fieldsUsage>
    </cacheHierarchy>
    <cacheHierarchy uniqueName="[Measures].[Rev LQ]" caption="Rev LQ" measure="1" displayFolder="" measureGroup="A" count="0"/>
    <cacheHierarchy uniqueName="[Measures].[Var vs LQ]" caption="Var vs LQ" measure="1" displayFolder="" measureGroup="A" count="0"/>
    <cacheHierarchy uniqueName="[Measures].[QoQ %]" caption="QoQ %" measure="1" displayFolder="" measureGroup="A" count="0"/>
    <cacheHierarchy uniqueName="[Measures].[Kpi lessthan20000]" caption="Kpi lessthan20000" measure="1" displayFolder="" measureGroup="A" count="0" oneField="1">
      <fieldsUsage count="1">
        <fieldUsage x="2"/>
      </fieldsUsage>
    </cacheHierarchy>
    <cacheHierarchy uniqueName="[Measures].[Qty Sold]" caption="Qty Sold" measure="1" displayFolder="" measureGroup="A" count="0"/>
    <cacheHierarchy uniqueName="[Measures].[Avg Price]" caption="Avg Price" measure="1" displayFolder="" measureGroup="A" count="0"/>
    <cacheHierarchy uniqueName="[Measures].[# of Order]" caption="# of Order" measure="1" displayFolder="" measureGroup="A" count="0"/>
    <cacheHierarchy uniqueName="[Measures].[Avg Qty Per Order]" caption="Avg Qty Per Order" measure="1" displayFolder="" measureGroup="A" count="0"/>
    <cacheHierarchy uniqueName="[Measures].[Chk_Top10_Date]" caption="Chk_Top10_Date" measure="1" displayFolder="" measureGroup="A" count="0"/>
    <cacheHierarchy uniqueName="[Measures].[QTD]" caption="QTD" measure="1" displayFolder="" measureGroup="A" count="0"/>
    <cacheHierarchy uniqueName="[Measures].[QTD LQ]" caption="QTD LQ" measure="1" displayFolder="" measureGroup="A" count="0"/>
    <cacheHierarchy uniqueName="[Measures].[Var QTD vs LQ]" caption="Var QTD vs LQ" measure="1" displayFolder="" measureGroup="A" count="0"/>
    <cacheHierarchy uniqueName="[Measures].[Qty Sold Vs LQ]" caption="Qty Sold Vs LQ" measure="1" displayFolder="" measureGroup="A" count="0"/>
    <cacheHierarchy uniqueName="[Measures].[__XL_Count Sales Data]" caption="__XL_Count Sales Data" measure="1" displayFolder="" measureGroup="Sales 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measure="1" name="Measures" uniqueName="[Measures]" caption="Measures"/>
    <dimension name="Sales Data" uniqueName="[Sales Data]" caption="Sales Data"/>
  </dimensions>
  <measureGroups count="3">
    <measureGroup name="A" caption="A"/>
    <measureGroup name="Calendar" caption="Calendar"/>
    <measureGroup name="Sales Data" caption="Sales Data"/>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 refreshedDate="45985.800600925926" backgroundQuery="1" createdVersion="8" refreshedVersion="8" minRefreshableVersion="3" recordCount="0" supportSubquery="1" supportAdvancedDrill="1" xr:uid="{801B7C9E-BE28-4722-BFBB-C9BC6C701722}">
  <cacheSource type="external" connectionId="4"/>
  <cacheFields count="3">
    <cacheField name="[Measures].[Total Revenue]" caption="Total Revenue" numFmtId="0" hierarchy="27" level="32767"/>
    <cacheField name="[Sales Data].[Country].[Country]" caption="Country" numFmtId="0" hierarchy="20" level="1">
      <sharedItems count="19">
        <s v="Australia"/>
        <s v="Austria"/>
        <s v="Belgium"/>
        <s v="Canada"/>
        <s v="Denmark"/>
        <s v="Finland"/>
        <s v="France"/>
        <s v="Germany"/>
        <s v="Ireland"/>
        <s v="Italy"/>
        <s v="Japan"/>
        <s v="Norway"/>
        <s v="Philippines"/>
        <s v="Singapore"/>
        <s v="Spain"/>
        <s v="Sweden"/>
        <s v="Switzerland"/>
        <s v="UK"/>
        <s v="USA"/>
      </sharedItems>
      <extLst>
        <ext xmlns:x15="http://schemas.microsoft.com/office/spreadsheetml/2010/11/main" uri="{4F2E5C28-24EA-4eb8-9CBF-B6C8F9C3D259}">
          <x15:cachedUniqueNames>
            <x15:cachedUniqueName index="0" name="[Sales Data].[Country].&amp;[Australia]"/>
            <x15:cachedUniqueName index="1" name="[Sales Data].[Country].&amp;[Austria]"/>
            <x15:cachedUniqueName index="2" name="[Sales Data].[Country].&amp;[Belgium]"/>
            <x15:cachedUniqueName index="3" name="[Sales Data].[Country].&amp;[Canada]"/>
            <x15:cachedUniqueName index="4" name="[Sales Data].[Country].&amp;[Denmark]"/>
            <x15:cachedUniqueName index="5" name="[Sales Data].[Country].&amp;[Finland]"/>
            <x15:cachedUniqueName index="6" name="[Sales Data].[Country].&amp;[France]"/>
            <x15:cachedUniqueName index="7" name="[Sales Data].[Country].&amp;[Germany]"/>
            <x15:cachedUniqueName index="8" name="[Sales Data].[Country].&amp;[Ireland]"/>
            <x15:cachedUniqueName index="9" name="[Sales Data].[Country].&amp;[Italy]"/>
            <x15:cachedUniqueName index="10" name="[Sales Data].[Country].&amp;[Japan]"/>
            <x15:cachedUniqueName index="11" name="[Sales Data].[Country].&amp;[Norway]"/>
            <x15:cachedUniqueName index="12" name="[Sales Data].[Country].&amp;[Philippines]"/>
            <x15:cachedUniqueName index="13" name="[Sales Data].[Country].&amp;[Singapore]"/>
            <x15:cachedUniqueName index="14" name="[Sales Data].[Country].&amp;[Spain]"/>
            <x15:cachedUniqueName index="15" name="[Sales Data].[Country].&amp;[Sweden]"/>
            <x15:cachedUniqueName index="16" name="[Sales Data].[Country].&amp;[Switzerland]"/>
            <x15:cachedUniqueName index="17" name="[Sales Data].[Country].&amp;[UK]"/>
            <x15:cachedUniqueName index="18" name="[Sales Data].[Country].&amp;[USA]"/>
          </x15:cachedUniqueNames>
        </ext>
      </extLst>
    </cacheField>
    <cacheField name="[Sales Data].[Customer Name].[Customer Name]" caption="Customer Name" numFmtId="0" hierarchy="18" level="1">
      <sharedItems count="10">
        <s v="Australian Collectors, Co"/>
        <s v="AV Stores, Co"/>
        <s v="Dragon Souveniers, Ltd"/>
        <s v="Euro Shopping Channel"/>
        <s v="La Rochelle Gifts"/>
        <s v="Land of Toys Inc"/>
        <s v="Mini Gifts Distributors Ltd"/>
        <s v="Muscle Machine Inc"/>
        <s v="Souveniers And Things Co"/>
        <s v="The Sharp Gifts Warehouse"/>
      </sharedItems>
      <extLst>
        <ext xmlns:x15="http://schemas.microsoft.com/office/spreadsheetml/2010/11/main" uri="{4F2E5C28-24EA-4eb8-9CBF-B6C8F9C3D259}">
          <x15:cachedUniqueNames>
            <x15:cachedUniqueName index="0" name="[Sales Data].[Customer Name].&amp;[Australian Collectors, Co]"/>
            <x15:cachedUniqueName index="1" name="[Sales Data].[Customer Name].&amp;[AV Stores, Co]"/>
            <x15:cachedUniqueName index="2" name="[Sales Data].[Customer Name].&amp;[Dragon Souveniers, Ltd]"/>
            <x15:cachedUniqueName index="3" name="[Sales Data].[Customer Name].&amp;[Euro Shopping Channel]"/>
            <x15:cachedUniqueName index="4" name="[Sales Data].[Customer Name].&amp;[La Rochelle Gifts]"/>
            <x15:cachedUniqueName index="5" name="[Sales Data].[Customer Name].&amp;[Land of Toys Inc]"/>
            <x15:cachedUniqueName index="6" name="[Sales Data].[Customer Name].&amp;[Mini Gifts Distributors Ltd]"/>
            <x15:cachedUniqueName index="7" name="[Sales Data].[Customer Name].&amp;[Muscle Machine Inc]"/>
            <x15:cachedUniqueName index="8" name="[Sales Data].[Customer Name].&amp;[Souveniers And Things Co]"/>
            <x15:cachedUniqueName index="9" name="[Sales Data].[Customer Name].&amp;[The Sharp Gifts Warehouse]"/>
          </x15:cachedUniqueNames>
        </ext>
      </extLst>
    </cacheField>
  </cacheFields>
  <cacheHierarchies count="45">
    <cacheHierarchy uniqueName="[A].[M]" caption="M" attribute="1" defaultMemberUniqueName="[A].[M].[All]" allUniqueName="[A].[M].[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20" unbalanced="0"/>
    <cacheHierarchy uniqueName="[Sales Data].[Orderlinenumber]" caption="Orderlinenumber" attribute="1" defaultMemberUniqueName="[Sales Data].[Orderlinenumber].[All]" allUniqueName="[Sales Data].[Orderlinenumber].[All]" dimensionUniqueName="[Sales Data]" displayFolder="" count="0" memberValueDatatype="20" unbalanced="0"/>
    <cacheHierarchy uniqueName="[Sales Data].[Quantity Ordered]" caption="Quantity Ordered" attribute="1" defaultMemberUniqueName="[Sales Data].[Quantity Ordered].[All]" allUniqueName="[Sales Data].[Quantity Ordered].[All]" dimensionUniqueName="[Sales Data]" displayFolder="" count="0" memberValueDatatype="20" unbalanced="0"/>
    <cacheHierarchy uniqueName="[Sales Data].[Price Each]" caption="Price Each" attribute="1" defaultMemberUniqueName="[Sales Data].[Price Each].[All]" allUniqueName="[Sales Data].[Price Each].[All]" dimensionUniqueName="[Sales Data]"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atus]" caption="Status" attribute="1" defaultMemberUniqueName="[Sales Data].[Status].[All]" allUniqueName="[Sales Data].[Status].[All]" dimensionUniqueName="[Sales Data]" displayFolder="" count="0" memberValueDatatype="130" unbalanced="0"/>
    <cacheHierarchy uniqueName="[Sales Data].[Product line]" caption="Product line" attribute="1" defaultMemberUniqueName="[Sales Data].[Product line].[All]" allUniqueName="[Sales Data].[Product line].[All]" dimensionUniqueName="[Sales Data]" displayFolder="" count="0" memberValueDatatype="130" unbalanced="0"/>
    <cacheHierarchy uniqueName="[Sales Data].[Msrp]" caption="Msrp" attribute="1" defaultMemberUniqueName="[Sales Data].[Msrp].[All]" allUniqueName="[Sales Data].[Msrp].[All]" dimensionUniqueName="[Sales Data]" displayFolder="" count="0" memberValueDatatype="20" unbalanced="0"/>
    <cacheHierarchy uniqueName="[Sales Data].[Productcode]" caption="Productcode" attribute="1" defaultMemberUniqueName="[Sales Data].[Productcode].[All]" allUniqueName="[Sales Data].[Productcode].[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2" memberValueDatatype="130" unbalanced="0">
      <fieldsUsage count="2">
        <fieldUsage x="-1"/>
        <fieldUsage x="2"/>
      </fieldsUsage>
    </cacheHierarchy>
    <cacheHierarchy uniqueName="[Sales Data].[City]" caption="City" attribute="1" defaultMemberUniqueName="[Sales Data].[City].[All]" allUniqueName="[Sales Data].[City].[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2" memberValueDatatype="130" unbalanced="0">
      <fieldsUsage count="2">
        <fieldUsage x="-1"/>
        <fieldUsage x="1"/>
      </fieldsUsage>
    </cacheHierarchy>
    <cacheHierarchy uniqueName="[Sales Data].[Territory]" caption="Territory" attribute="1" defaultMemberUniqueName="[Sales Data].[Territory].[All]" allUniqueName="[Sales Data].[Territory].[All]" dimensionUniqueName="[Sales Data]" displayFolder="" count="0" memberValueDatatype="130" unbalanced="0"/>
    <cacheHierarchy uniqueName="[Sales Data].[Contactfirstname]" caption="Contactfirstname" attribute="1" defaultMemberUniqueName="[Sales Data].[Contactfirstname].[All]" allUniqueName="[Sales Data].[Contactfirstname].[All]" dimensionUniqueName="[Sales Data]" displayFolder="" count="0" memberValueDatatype="130" unbalanced="0"/>
    <cacheHierarchy uniqueName="[Sales Data].[Contactlastname]" caption="Contactlastname" attribute="1" defaultMemberUniqueName="[Sales Data].[Contactlastname].[All]" allUniqueName="[Sales Data].[Contactlastname].[All]" dimensionUniqueName="[Sales Data]" displayFolder="" count="0" memberValueDatatype="130" unbalanced="0"/>
    <cacheHierarchy uniqueName="[Sales Data].[Dealsize]" caption="Dealsize" attribute="1" defaultMemberUniqueName="[Sales Data].[Dealsize].[All]" allUniqueName="[Sales Data].[Dealsize].[All]" dimensionUniqueName="[Sales Data]" displayFolder="" count="0" memberValueDatatype="130" unbalanced="0"/>
    <cacheHierarchy uniqueName="[Sales Data].[Total Sales]" caption="Total Sales" attribute="1" defaultMemberUniqueName="[Sales Data].[Total Sales].[All]" allUniqueName="[Sales Data].[Total Sales].[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hidden="1"/>
    <cacheHierarchy uniqueName="[Measures].[Total Revenue]" caption="Total Revenue" measure="1" displayFolder="" measureGroup="A" count="0" oneField="1">
      <fieldsUsage count="1">
        <fieldUsage x="0"/>
      </fieldsUsage>
    </cacheHierarchy>
    <cacheHierarchy uniqueName="[Measures].[Rev LQ]" caption="Rev LQ" measure="1" displayFolder="" measureGroup="A" count="0"/>
    <cacheHierarchy uniqueName="[Measures].[Var vs LQ]" caption="Var vs LQ" measure="1" displayFolder="" measureGroup="A" count="0"/>
    <cacheHierarchy uniqueName="[Measures].[QoQ %]" caption="QoQ %" measure="1" displayFolder="" measureGroup="A" count="0"/>
    <cacheHierarchy uniqueName="[Measures].[Kpi lessthan20000]" caption="Kpi lessthan20000" measure="1" displayFolder="" measureGroup="A" count="0"/>
    <cacheHierarchy uniqueName="[Measures].[Qty Sold]" caption="Qty Sold" measure="1" displayFolder="" measureGroup="A" count="0"/>
    <cacheHierarchy uniqueName="[Measures].[Avg Price]" caption="Avg Price" measure="1" displayFolder="" measureGroup="A" count="0"/>
    <cacheHierarchy uniqueName="[Measures].[# of Order]" caption="# of Order" measure="1" displayFolder="" measureGroup="A" count="0"/>
    <cacheHierarchy uniqueName="[Measures].[Avg Qty Per Order]" caption="Avg Qty Per Order" measure="1" displayFolder="" measureGroup="A" count="0"/>
    <cacheHierarchy uniqueName="[Measures].[Chk_Top10_Date]" caption="Chk_Top10_Date" measure="1" displayFolder="" measureGroup="A" count="0"/>
    <cacheHierarchy uniqueName="[Measures].[QTD]" caption="QTD" measure="1" displayFolder="" measureGroup="A" count="0"/>
    <cacheHierarchy uniqueName="[Measures].[QTD LQ]" caption="QTD LQ" measure="1" displayFolder="" measureGroup="A" count="0"/>
    <cacheHierarchy uniqueName="[Measures].[Var QTD vs LQ]" caption="Var QTD vs LQ" measure="1" displayFolder="" measureGroup="A" count="0"/>
    <cacheHierarchy uniqueName="[Measures].[Qty Sold Vs LQ]" caption="Qty Sold Vs LQ" measure="1" displayFolder="" measureGroup="A" count="0"/>
    <cacheHierarchy uniqueName="[Measures].[__XL_Count Sales Data]" caption="__XL_Count Sales Data" measure="1" displayFolder="" measureGroup="Sales 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measure="1" name="Measures" uniqueName="[Measures]" caption="Measures"/>
    <dimension name="Sales Data" uniqueName="[Sales Data]" caption="Sales Data"/>
  </dimensions>
  <measureGroups count="3">
    <measureGroup name="A" caption="A"/>
    <measureGroup name="Calendar" caption="Calendar"/>
    <measureGroup name="Sales Data" caption="Sales Data"/>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 refreshedDate="45985.800601273149" backgroundQuery="1" createdVersion="8" refreshedVersion="8" minRefreshableVersion="3" recordCount="0" supportSubquery="1" supportAdvancedDrill="1" xr:uid="{A8CB2DC9-43AB-4BA3-AEDC-813E27756C02}">
  <cacheSource type="external" connectionId="4"/>
  <cacheFields count="5">
    <cacheField name="[Measures].[Total Revenue]" caption="Total Revenue" numFmtId="0" hierarchy="27" level="32767"/>
    <cacheField name="[Measures].[Qty Sold]" caption="Qty Sold" numFmtId="0" hierarchy="32" level="32767"/>
    <cacheField name="[Measures].[# of Order]" caption="# of Order" numFmtId="0" hierarchy="34" level="32767"/>
    <cacheField name="[Measures].[Avg Qty Per Order]" caption="Avg Qty Per Order" numFmtId="0" hierarchy="35" level="32767"/>
    <cacheField name="[Sales Data].[Country].[Country]" caption="Country" numFmtId="0" hierarchy="20" level="1">
      <sharedItems containsSemiMixedTypes="0" containsNonDate="0" containsString="0"/>
    </cacheField>
  </cacheFields>
  <cacheHierarchies count="45">
    <cacheHierarchy uniqueName="[A].[M]" caption="M" attribute="1" defaultMemberUniqueName="[A].[M].[All]" allUniqueName="[A].[M].[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20" unbalanced="0"/>
    <cacheHierarchy uniqueName="[Sales Data].[Orderlinenumber]" caption="Orderlinenumber" attribute="1" defaultMemberUniqueName="[Sales Data].[Orderlinenumber].[All]" allUniqueName="[Sales Data].[Orderlinenumber].[All]" dimensionUniqueName="[Sales Data]" displayFolder="" count="0" memberValueDatatype="20" unbalanced="0"/>
    <cacheHierarchy uniqueName="[Sales Data].[Quantity Ordered]" caption="Quantity Ordered" attribute="1" defaultMemberUniqueName="[Sales Data].[Quantity Ordered].[All]" allUniqueName="[Sales Data].[Quantity Ordered].[All]" dimensionUniqueName="[Sales Data]" displayFolder="" count="0" memberValueDatatype="20" unbalanced="0"/>
    <cacheHierarchy uniqueName="[Sales Data].[Price Each]" caption="Price Each" attribute="1" defaultMemberUniqueName="[Sales Data].[Price Each].[All]" allUniqueName="[Sales Data].[Price Each].[All]" dimensionUniqueName="[Sales Data]"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atus]" caption="Status" attribute="1" defaultMemberUniqueName="[Sales Data].[Status].[All]" allUniqueName="[Sales Data].[Status].[All]" dimensionUniqueName="[Sales Data]" displayFolder="" count="0" memberValueDatatype="130" unbalanced="0"/>
    <cacheHierarchy uniqueName="[Sales Data].[Product line]" caption="Product line" attribute="1" defaultMemberUniqueName="[Sales Data].[Product line].[All]" allUniqueName="[Sales Data].[Product line].[All]" dimensionUniqueName="[Sales Data]" displayFolder="" count="0" memberValueDatatype="130" unbalanced="0"/>
    <cacheHierarchy uniqueName="[Sales Data].[Msrp]" caption="Msrp" attribute="1" defaultMemberUniqueName="[Sales Data].[Msrp].[All]" allUniqueName="[Sales Data].[Msrp].[All]" dimensionUniqueName="[Sales Data]" displayFolder="" count="0" memberValueDatatype="20" unbalanced="0"/>
    <cacheHierarchy uniqueName="[Sales Data].[Productcode]" caption="Productcode" attribute="1" defaultMemberUniqueName="[Sales Data].[Productcode].[All]" allUniqueName="[Sales Data].[Productcode].[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2" memberValueDatatype="130" unbalanced="0">
      <fieldsUsage count="2">
        <fieldUsage x="-1"/>
        <fieldUsage x="4"/>
      </fieldsUsage>
    </cacheHierarchy>
    <cacheHierarchy uniqueName="[Sales Data].[Territory]" caption="Territory" attribute="1" defaultMemberUniqueName="[Sales Data].[Territory].[All]" allUniqueName="[Sales Data].[Territory].[All]" dimensionUniqueName="[Sales Data]" displayFolder="" count="0" memberValueDatatype="130" unbalanced="0"/>
    <cacheHierarchy uniqueName="[Sales Data].[Contactfirstname]" caption="Contactfirstname" attribute="1" defaultMemberUniqueName="[Sales Data].[Contactfirstname].[All]" allUniqueName="[Sales Data].[Contactfirstname].[All]" dimensionUniqueName="[Sales Data]" displayFolder="" count="0" memberValueDatatype="130" unbalanced="0"/>
    <cacheHierarchy uniqueName="[Sales Data].[Contactlastname]" caption="Contactlastname" attribute="1" defaultMemberUniqueName="[Sales Data].[Contactlastname].[All]" allUniqueName="[Sales Data].[Contactlastname].[All]" dimensionUniqueName="[Sales Data]" displayFolder="" count="0" memberValueDatatype="130" unbalanced="0"/>
    <cacheHierarchy uniqueName="[Sales Data].[Dealsize]" caption="Dealsize" attribute="1" defaultMemberUniqueName="[Sales Data].[Dealsize].[All]" allUniqueName="[Sales Data].[Dealsize].[All]" dimensionUniqueName="[Sales Data]" displayFolder="" count="0" memberValueDatatype="130" unbalanced="0"/>
    <cacheHierarchy uniqueName="[Sales Data].[Total Sales]" caption="Total Sales" attribute="1" defaultMemberUniqueName="[Sales Data].[Total Sales].[All]" allUniqueName="[Sales Data].[Total Sales].[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hidden="1"/>
    <cacheHierarchy uniqueName="[Measures].[Total Revenue]" caption="Total Revenue" measure="1" displayFolder="" measureGroup="A" count="0" oneField="1">
      <fieldsUsage count="1">
        <fieldUsage x="0"/>
      </fieldsUsage>
    </cacheHierarchy>
    <cacheHierarchy uniqueName="[Measures].[Rev LQ]" caption="Rev LQ" measure="1" displayFolder="" measureGroup="A" count="0"/>
    <cacheHierarchy uniqueName="[Measures].[Var vs LQ]" caption="Var vs LQ" measure="1" displayFolder="" measureGroup="A" count="0"/>
    <cacheHierarchy uniqueName="[Measures].[QoQ %]" caption="QoQ %" measure="1" displayFolder="" measureGroup="A" count="0"/>
    <cacheHierarchy uniqueName="[Measures].[Kpi lessthan20000]" caption="Kpi lessthan20000" measure="1" displayFolder="" measureGroup="A" count="0"/>
    <cacheHierarchy uniqueName="[Measures].[Qty Sold]" caption="Qty Sold" measure="1" displayFolder="" measureGroup="A" count="0" oneField="1">
      <fieldsUsage count="1">
        <fieldUsage x="1"/>
      </fieldsUsage>
    </cacheHierarchy>
    <cacheHierarchy uniqueName="[Measures].[Avg Price]" caption="Avg Price" measure="1" displayFolder="" measureGroup="A" count="0"/>
    <cacheHierarchy uniqueName="[Measures].[# of Order]" caption="# of Order" measure="1" displayFolder="" measureGroup="A" count="0" oneField="1">
      <fieldsUsage count="1">
        <fieldUsage x="2"/>
      </fieldsUsage>
    </cacheHierarchy>
    <cacheHierarchy uniqueName="[Measures].[Avg Qty Per Order]" caption="Avg Qty Per Order" measure="1" displayFolder="" measureGroup="A" count="0" oneField="1">
      <fieldsUsage count="1">
        <fieldUsage x="3"/>
      </fieldsUsage>
    </cacheHierarchy>
    <cacheHierarchy uniqueName="[Measures].[Chk_Top10_Date]" caption="Chk_Top10_Date" measure="1" displayFolder="" measureGroup="A" count="0"/>
    <cacheHierarchy uniqueName="[Measures].[QTD]" caption="QTD" measure="1" displayFolder="" measureGroup="A" count="0"/>
    <cacheHierarchy uniqueName="[Measures].[QTD LQ]" caption="QTD LQ" measure="1" displayFolder="" measureGroup="A" count="0"/>
    <cacheHierarchy uniqueName="[Measures].[Var QTD vs LQ]" caption="Var QTD vs LQ" measure="1" displayFolder="" measureGroup="A" count="0"/>
    <cacheHierarchy uniqueName="[Measures].[Qty Sold Vs LQ]" caption="Qty Sold Vs LQ" measure="1" displayFolder="" measureGroup="A" count="0"/>
    <cacheHierarchy uniqueName="[Measures].[__XL_Count Sales Data]" caption="__XL_Count Sales Data" measure="1" displayFolder="" measureGroup="Sales 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measure="1" name="Measures" uniqueName="[Measures]" caption="Measures"/>
    <dimension name="Sales Data" uniqueName="[Sales Data]" caption="Sales Data"/>
  </dimensions>
  <measureGroups count="3">
    <measureGroup name="A" caption="A"/>
    <measureGroup name="Calendar" caption="Calendar"/>
    <measureGroup name="Sales Data" caption="Sales Data"/>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 refreshedDate="45985.800601620373" backgroundQuery="1" createdVersion="8" refreshedVersion="8" minRefreshableVersion="3" recordCount="0" supportSubquery="1" supportAdvancedDrill="1" xr:uid="{B381FCFF-3EEB-45AB-B8D3-F7301BFF81BA}">
  <cacheSource type="external" connectionId="4"/>
  <cacheFields count="4">
    <cacheField name="[Calendar].[Year].[Year]" caption="Year" numFmtId="0" hierarchy="3" level="1">
      <sharedItems containsSemiMixedTypes="0" containsString="0" containsNumber="1" containsInteger="1" minValue="2003" maxValue="2005" count="3">
        <n v="2003"/>
        <n v="2004"/>
        <n v="2005"/>
      </sharedItems>
      <extLst>
        <ext xmlns:x15="http://schemas.microsoft.com/office/spreadsheetml/2010/11/main" uri="{4F2E5C28-24EA-4eb8-9CBF-B6C8F9C3D259}">
          <x15:cachedUniqueNames>
            <x15:cachedUniqueName index="0" name="[Calendar].[Year].&amp;[2003]"/>
            <x15:cachedUniqueName index="1" name="[Calendar].[Year].&amp;[2004]"/>
            <x15:cachedUniqueName index="2" name="[Calendar].[Year].&amp;[2005]"/>
          </x15:cachedUniqueNames>
        </ext>
      </extLst>
    </cacheField>
    <cacheField name="[Calendar].[Month].[Month]" caption="Month" numFmtId="0" hierarchy="5"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Calendar].[Month].&amp;[Jan]"/>
            <x15:cachedUniqueName index="1" name="[Calendar].[Month].&amp;[Feb]"/>
            <x15:cachedUniqueName index="2" name="[Calendar].[Month].&amp;[Mar]"/>
            <x15:cachedUniqueName index="3" name="[Calendar].[Month].&amp;[Apr]"/>
            <x15:cachedUniqueName index="4" name="[Calendar].[Month].&amp;[May]"/>
            <x15:cachedUniqueName index="5" name="[Calendar].[Month].&amp;[Jun]"/>
            <x15:cachedUniqueName index="6" name="[Calendar].[Month].&amp;[Jul]"/>
            <x15:cachedUniqueName index="7" name="[Calendar].[Month].&amp;[Aug]"/>
            <x15:cachedUniqueName index="8" name="[Calendar].[Month].&amp;[Sep]"/>
            <x15:cachedUniqueName index="9" name="[Calendar].[Month].&amp;[Oct]"/>
            <x15:cachedUniqueName index="10" name="[Calendar].[Month].&amp;[Nov]"/>
            <x15:cachedUniqueName index="11" name="[Calendar].[Month].&amp;[Dec]"/>
          </x15:cachedUniqueNames>
        </ext>
      </extLst>
    </cacheField>
    <cacheField name="[Measures].[Total Revenue]" caption="Total Revenue" numFmtId="0" hierarchy="27" level="32767"/>
    <cacheField name="[Sales Data].[Country].[Country]" caption="Country" numFmtId="0" hierarchy="20" level="1">
      <sharedItems containsSemiMixedTypes="0" containsNonDate="0" containsString="0"/>
    </cacheField>
  </cacheFields>
  <cacheHierarchies count="45">
    <cacheHierarchy uniqueName="[A].[M]" caption="M" attribute="1" defaultMemberUniqueName="[A].[M].[All]" allUniqueName="[A].[M].[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20" unbalanced="0"/>
    <cacheHierarchy uniqueName="[Sales Data].[Orderlinenumber]" caption="Orderlinenumber" attribute="1" defaultMemberUniqueName="[Sales Data].[Orderlinenumber].[All]" allUniqueName="[Sales Data].[Orderlinenumber].[All]" dimensionUniqueName="[Sales Data]" displayFolder="" count="0" memberValueDatatype="20" unbalanced="0"/>
    <cacheHierarchy uniqueName="[Sales Data].[Quantity Ordered]" caption="Quantity Ordered" attribute="1" defaultMemberUniqueName="[Sales Data].[Quantity Ordered].[All]" allUniqueName="[Sales Data].[Quantity Ordered].[All]" dimensionUniqueName="[Sales Data]" displayFolder="" count="0" memberValueDatatype="20" unbalanced="0"/>
    <cacheHierarchy uniqueName="[Sales Data].[Price Each]" caption="Price Each" attribute="1" defaultMemberUniqueName="[Sales Data].[Price Each].[All]" allUniqueName="[Sales Data].[Price Each].[All]" dimensionUniqueName="[Sales Data]"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atus]" caption="Status" attribute="1" defaultMemberUniqueName="[Sales Data].[Status].[All]" allUniqueName="[Sales Data].[Status].[All]" dimensionUniqueName="[Sales Data]" displayFolder="" count="0" memberValueDatatype="130" unbalanced="0"/>
    <cacheHierarchy uniqueName="[Sales Data].[Product line]" caption="Product line" attribute="1" defaultMemberUniqueName="[Sales Data].[Product line].[All]" allUniqueName="[Sales Data].[Product line].[All]" dimensionUniqueName="[Sales Data]" displayFolder="" count="0" memberValueDatatype="130" unbalanced="0"/>
    <cacheHierarchy uniqueName="[Sales Data].[Msrp]" caption="Msrp" attribute="1" defaultMemberUniqueName="[Sales Data].[Msrp].[All]" allUniqueName="[Sales Data].[Msrp].[All]" dimensionUniqueName="[Sales Data]" displayFolder="" count="0" memberValueDatatype="20" unbalanced="0"/>
    <cacheHierarchy uniqueName="[Sales Data].[Productcode]" caption="Productcode" attribute="1" defaultMemberUniqueName="[Sales Data].[Productcode].[All]" allUniqueName="[Sales Data].[Productcode].[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2" memberValueDatatype="130" unbalanced="0">
      <fieldsUsage count="2">
        <fieldUsage x="-1"/>
        <fieldUsage x="3"/>
      </fieldsUsage>
    </cacheHierarchy>
    <cacheHierarchy uniqueName="[Sales Data].[Territory]" caption="Territory" attribute="1" defaultMemberUniqueName="[Sales Data].[Territory].[All]" allUniqueName="[Sales Data].[Territory].[All]" dimensionUniqueName="[Sales Data]" displayFolder="" count="0" memberValueDatatype="130" unbalanced="0"/>
    <cacheHierarchy uniqueName="[Sales Data].[Contactfirstname]" caption="Contactfirstname" attribute="1" defaultMemberUniqueName="[Sales Data].[Contactfirstname].[All]" allUniqueName="[Sales Data].[Contactfirstname].[All]" dimensionUniqueName="[Sales Data]" displayFolder="" count="0" memberValueDatatype="130" unbalanced="0"/>
    <cacheHierarchy uniqueName="[Sales Data].[Contactlastname]" caption="Contactlastname" attribute="1" defaultMemberUniqueName="[Sales Data].[Contactlastname].[All]" allUniqueName="[Sales Data].[Contactlastname].[All]" dimensionUniqueName="[Sales Data]" displayFolder="" count="0" memberValueDatatype="130" unbalanced="0"/>
    <cacheHierarchy uniqueName="[Sales Data].[Dealsize]" caption="Dealsize" attribute="1" defaultMemberUniqueName="[Sales Data].[Dealsize].[All]" allUniqueName="[Sales Data].[Dealsize].[All]" dimensionUniqueName="[Sales Data]" displayFolder="" count="0" memberValueDatatype="130" unbalanced="0"/>
    <cacheHierarchy uniqueName="[Sales Data].[Total Sales]" caption="Total Sales" attribute="1" defaultMemberUniqueName="[Sales Data].[Total Sales].[All]" allUniqueName="[Sales Data].[Total Sales].[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hidden="1"/>
    <cacheHierarchy uniqueName="[Measures].[Total Revenue]" caption="Total Revenue" measure="1" displayFolder="" measureGroup="A" count="0" oneField="1">
      <fieldsUsage count="1">
        <fieldUsage x="2"/>
      </fieldsUsage>
    </cacheHierarchy>
    <cacheHierarchy uniqueName="[Measures].[Rev LQ]" caption="Rev LQ" measure="1" displayFolder="" measureGroup="A" count="0"/>
    <cacheHierarchy uniqueName="[Measures].[Var vs LQ]" caption="Var vs LQ" measure="1" displayFolder="" measureGroup="A" count="0"/>
    <cacheHierarchy uniqueName="[Measures].[QoQ %]" caption="QoQ %" measure="1" displayFolder="" measureGroup="A" count="0"/>
    <cacheHierarchy uniqueName="[Measures].[Kpi lessthan20000]" caption="Kpi lessthan20000" measure="1" displayFolder="" measureGroup="A" count="0"/>
    <cacheHierarchy uniqueName="[Measures].[Qty Sold]" caption="Qty Sold" measure="1" displayFolder="" measureGroup="A" count="0"/>
    <cacheHierarchy uniqueName="[Measures].[Avg Price]" caption="Avg Price" measure="1" displayFolder="" measureGroup="A" count="0"/>
    <cacheHierarchy uniqueName="[Measures].[# of Order]" caption="# of Order" measure="1" displayFolder="" measureGroup="A" count="0"/>
    <cacheHierarchy uniqueName="[Measures].[Avg Qty Per Order]" caption="Avg Qty Per Order" measure="1" displayFolder="" measureGroup="A" count="0"/>
    <cacheHierarchy uniqueName="[Measures].[Chk_Top10_Date]" caption="Chk_Top10_Date" measure="1" displayFolder="" measureGroup="A" count="0"/>
    <cacheHierarchy uniqueName="[Measures].[QTD]" caption="QTD" measure="1" displayFolder="" measureGroup="A" count="0"/>
    <cacheHierarchy uniqueName="[Measures].[QTD LQ]" caption="QTD LQ" measure="1" displayFolder="" measureGroup="A" count="0"/>
    <cacheHierarchy uniqueName="[Measures].[Var QTD vs LQ]" caption="Var QTD vs LQ" measure="1" displayFolder="" measureGroup="A" count="0"/>
    <cacheHierarchy uniqueName="[Measures].[Qty Sold Vs LQ]" caption="Qty Sold Vs LQ" measure="1" displayFolder="" measureGroup="A" count="0"/>
    <cacheHierarchy uniqueName="[Measures].[__XL_Count Sales Data]" caption="__XL_Count Sales Data" measure="1" displayFolder="" measureGroup="Sales 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measure="1" name="Measures" uniqueName="[Measures]" caption="Measures"/>
    <dimension name="Sales Data" uniqueName="[Sales Data]" caption="Sales Data"/>
  </dimensions>
  <measureGroups count="3">
    <measureGroup name="A" caption="A"/>
    <measureGroup name="Calendar" caption="Calendar"/>
    <measureGroup name="Sales Data" caption="Sales Data"/>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 refreshedDate="45985.802769675924" backgroundQuery="1" createdVersion="8" refreshedVersion="8" minRefreshableVersion="3" recordCount="0" supportSubquery="1" supportAdvancedDrill="1" xr:uid="{9A592562-608D-410B-ADF1-405D62A06FF6}">
  <cacheSource type="external" connectionId="4"/>
  <cacheFields count="7">
    <cacheField name="[Measures].[Total Revenue]" caption="Total Revenue" numFmtId="0" hierarchy="27" level="32767"/>
    <cacheField name="[Measures].[Rev LQ]" caption="Rev LQ" numFmtId="0" hierarchy="28" level="32767"/>
    <cacheField name="[Sales Data].[Product line].[Product line]" caption="Product line" numFmtId="0" hierarchy="15" level="1">
      <sharedItems count="7">
        <s v="Classic Cars"/>
        <s v="Motorcycles"/>
        <s v="Planes"/>
        <s v="Ships"/>
        <s v="Trains"/>
        <s v="Trucks and Buses"/>
        <s v="Vintage Cars"/>
      </sharedItems>
      <extLst>
        <ext xmlns:x15="http://schemas.microsoft.com/office/spreadsheetml/2010/11/main" uri="{4F2E5C28-24EA-4eb8-9CBF-B6C8F9C3D259}">
          <x15:cachedUniqueNames>
            <x15:cachedUniqueName index="0" name="[Sales Data].[Product line].&amp;[Classic Cars]"/>
            <x15:cachedUniqueName index="1" name="[Sales Data].[Product line].&amp;[Motorcycles]"/>
            <x15:cachedUniqueName index="2" name="[Sales Data].[Product line].&amp;[Planes]"/>
            <x15:cachedUniqueName index="3" name="[Sales Data].[Product line].&amp;[Ships]"/>
            <x15:cachedUniqueName index="4" name="[Sales Data].[Product line].&amp;[Trains]"/>
            <x15:cachedUniqueName index="5" name="[Sales Data].[Product line].&amp;[Trucks and Buses]"/>
            <x15:cachedUniqueName index="6" name="[Sales Data].[Product line].&amp;[Vintage Cars]"/>
          </x15:cachedUniqueNames>
        </ext>
      </extLst>
    </cacheField>
    <cacheField name="[Calendar].[Year].[Year]" caption="Year" numFmtId="0" hierarchy="3" level="1">
      <sharedItems containsSemiMixedTypes="0" containsString="0" containsNumber="1" containsInteger="1" minValue="2004" maxValue="2004" count="1">
        <n v="2004"/>
      </sharedItems>
      <extLst>
        <ext xmlns:x15="http://schemas.microsoft.com/office/spreadsheetml/2010/11/main" uri="{4F2E5C28-24EA-4eb8-9CBF-B6C8F9C3D259}">
          <x15:cachedUniqueNames>
            <x15:cachedUniqueName index="0" name="[Calendar].[Year].&amp;[2004]"/>
          </x15:cachedUniqueNames>
        </ext>
      </extLst>
    </cacheField>
    <cacheField name="[Calendar].[Quarter].[Quarter]" caption="Quarter" numFmtId="0" hierarchy="6" level="1">
      <sharedItems count="4">
        <s v="Q1"/>
        <s v="Q2"/>
        <s v="Q3"/>
        <s v="Q4"/>
      </sharedItems>
      <extLst>
        <ext xmlns:x15="http://schemas.microsoft.com/office/spreadsheetml/2010/11/main" uri="{4F2E5C28-24EA-4eb8-9CBF-B6C8F9C3D259}">
          <x15:cachedUniqueNames>
            <x15:cachedUniqueName index="0" name="[Calendar].[Quarter].&amp;[Q1]"/>
            <x15:cachedUniqueName index="1" name="[Calendar].[Quarter].&amp;[Q2]"/>
            <x15:cachedUniqueName index="2" name="[Calendar].[Quarter].&amp;[Q3]"/>
            <x15:cachedUniqueName index="3" name="[Calendar].[Quarter].&amp;[Q4]"/>
          </x15:cachedUniqueNames>
        </ext>
      </extLst>
    </cacheField>
    <cacheField name="[Measures].[Var vs LQ]" caption="Var vs LQ" numFmtId="0" hierarchy="29" level="32767"/>
    <cacheField name="[Measures].[QoQ %]" caption="QoQ %" numFmtId="0" hierarchy="30" level="32767"/>
  </cacheFields>
  <cacheHierarchies count="45">
    <cacheHierarchy uniqueName="[A].[M]" caption="M" attribute="1" defaultMemberUniqueName="[A].[M].[All]" allUniqueName="[A].[M].[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20" unbalanced="0"/>
    <cacheHierarchy uniqueName="[Sales Data].[Orderlinenumber]" caption="Orderlinenumber" attribute="1" defaultMemberUniqueName="[Sales Data].[Orderlinenumber].[All]" allUniqueName="[Sales Data].[Orderlinenumber].[All]" dimensionUniqueName="[Sales Data]" displayFolder="" count="0" memberValueDatatype="20" unbalanced="0"/>
    <cacheHierarchy uniqueName="[Sales Data].[Quantity Ordered]" caption="Quantity Ordered" attribute="1" defaultMemberUniqueName="[Sales Data].[Quantity Ordered].[All]" allUniqueName="[Sales Data].[Quantity Ordered].[All]" dimensionUniqueName="[Sales Data]" displayFolder="" count="0" memberValueDatatype="20" unbalanced="0"/>
    <cacheHierarchy uniqueName="[Sales Data].[Price Each]" caption="Price Each" attribute="1" defaultMemberUniqueName="[Sales Data].[Price Each].[All]" allUniqueName="[Sales Data].[Price Each].[All]" dimensionUniqueName="[Sales Data]"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atus]" caption="Status" attribute="1" defaultMemberUniqueName="[Sales Data].[Status].[All]" allUniqueName="[Sales Data].[Status].[All]" dimensionUniqueName="[Sales Data]" displayFolder="" count="0" memberValueDatatype="130" unbalanced="0"/>
    <cacheHierarchy uniqueName="[Sales Data].[Product line]" caption="Product line" attribute="1" defaultMemberUniqueName="[Sales Data].[Product line].[All]" allUniqueName="[Sales Data].[Product line].[All]" dimensionUniqueName="[Sales Data]" displayFolder="" count="2" memberValueDatatype="130" unbalanced="0">
      <fieldsUsage count="2">
        <fieldUsage x="-1"/>
        <fieldUsage x="2"/>
      </fieldsUsage>
    </cacheHierarchy>
    <cacheHierarchy uniqueName="[Sales Data].[Msrp]" caption="Msrp" attribute="1" defaultMemberUniqueName="[Sales Data].[Msrp].[All]" allUniqueName="[Sales Data].[Msrp].[All]" dimensionUniqueName="[Sales Data]" displayFolder="" count="0" memberValueDatatype="20" unbalanced="0"/>
    <cacheHierarchy uniqueName="[Sales Data].[Productcode]" caption="Productcode" attribute="1" defaultMemberUniqueName="[Sales Data].[Productcode].[All]" allUniqueName="[Sales Data].[Productcode].[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0" memberValueDatatype="130" unbalanced="0"/>
    <cacheHierarchy uniqueName="[Sales Data].[Territory]" caption="Territory" attribute="1" defaultMemberUniqueName="[Sales Data].[Territory].[All]" allUniqueName="[Sales Data].[Territory].[All]" dimensionUniqueName="[Sales Data]" displayFolder="" count="0" memberValueDatatype="130" unbalanced="0"/>
    <cacheHierarchy uniqueName="[Sales Data].[Contactfirstname]" caption="Contactfirstname" attribute="1" defaultMemberUniqueName="[Sales Data].[Contactfirstname].[All]" allUniqueName="[Sales Data].[Contactfirstname].[All]" dimensionUniqueName="[Sales Data]" displayFolder="" count="0" memberValueDatatype="130" unbalanced="0"/>
    <cacheHierarchy uniqueName="[Sales Data].[Contactlastname]" caption="Contactlastname" attribute="1" defaultMemberUniqueName="[Sales Data].[Contactlastname].[All]" allUniqueName="[Sales Data].[Contactlastname].[All]" dimensionUniqueName="[Sales Data]" displayFolder="" count="0" memberValueDatatype="130" unbalanced="0"/>
    <cacheHierarchy uniqueName="[Sales Data].[Dealsize]" caption="Dealsize" attribute="1" defaultMemberUniqueName="[Sales Data].[Dealsize].[All]" allUniqueName="[Sales Data].[Dealsize].[All]" dimensionUniqueName="[Sales Data]" displayFolder="" count="0" memberValueDatatype="130" unbalanced="0"/>
    <cacheHierarchy uniqueName="[Sales Data].[Total Sales]" caption="Total Sales" attribute="1" defaultMemberUniqueName="[Sales Data].[Total Sales].[All]" allUniqueName="[Sales Data].[Total Sales].[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hidden="1"/>
    <cacheHierarchy uniqueName="[Measures].[Total Revenue]" caption="Total Revenue" measure="1" displayFolder="" measureGroup="A" count="0" oneField="1">
      <fieldsUsage count="1">
        <fieldUsage x="0"/>
      </fieldsUsage>
    </cacheHierarchy>
    <cacheHierarchy uniqueName="[Measures].[Rev LQ]" caption="Rev LQ" measure="1" displayFolder="" measureGroup="A" count="0" oneField="1">
      <fieldsUsage count="1">
        <fieldUsage x="1"/>
      </fieldsUsage>
    </cacheHierarchy>
    <cacheHierarchy uniqueName="[Measures].[Var vs LQ]" caption="Var vs LQ" measure="1" displayFolder="" measureGroup="A" count="0" oneField="1">
      <fieldsUsage count="1">
        <fieldUsage x="5"/>
      </fieldsUsage>
    </cacheHierarchy>
    <cacheHierarchy uniqueName="[Measures].[QoQ %]" caption="QoQ %" measure="1" displayFolder="" measureGroup="A" count="0" oneField="1">
      <fieldsUsage count="1">
        <fieldUsage x="6"/>
      </fieldsUsage>
    </cacheHierarchy>
    <cacheHierarchy uniqueName="[Measures].[Kpi lessthan20000]" caption="Kpi lessthan20000" measure="1" displayFolder="" measureGroup="A" count="0"/>
    <cacheHierarchy uniqueName="[Measures].[Qty Sold]" caption="Qty Sold" measure="1" displayFolder="" measureGroup="A" count="0"/>
    <cacheHierarchy uniqueName="[Measures].[Avg Price]" caption="Avg Price" measure="1" displayFolder="" measureGroup="A" count="0"/>
    <cacheHierarchy uniqueName="[Measures].[# of Order]" caption="# of Order" measure="1" displayFolder="" measureGroup="A" count="0"/>
    <cacheHierarchy uniqueName="[Measures].[Avg Qty Per Order]" caption="Avg Qty Per Order" measure="1" displayFolder="" measureGroup="A" count="0"/>
    <cacheHierarchy uniqueName="[Measures].[Chk_Top10_Date]" caption="Chk_Top10_Date" measure="1" displayFolder="" measureGroup="A" count="0"/>
    <cacheHierarchy uniqueName="[Measures].[QTD]" caption="QTD" measure="1" displayFolder="" measureGroup="A" count="0"/>
    <cacheHierarchy uniqueName="[Measures].[QTD LQ]" caption="QTD LQ" measure="1" displayFolder="" measureGroup="A" count="0"/>
    <cacheHierarchy uniqueName="[Measures].[Var QTD vs LQ]" caption="Var QTD vs LQ" measure="1" displayFolder="" measureGroup="A" count="0"/>
    <cacheHierarchy uniqueName="[Measures].[Qty Sold Vs LQ]" caption="Qty Sold Vs LQ" measure="1" displayFolder="" measureGroup="A" count="0"/>
    <cacheHierarchy uniqueName="[Measures].[__XL_Count Sales Data]" caption="__XL_Count Sales Data" measure="1" displayFolder="" measureGroup="Sales 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measure="1" name="Measures" uniqueName="[Measures]" caption="Measures"/>
    <dimension name="Sales Data" uniqueName="[Sales Data]" caption="Sales Data"/>
  </dimensions>
  <measureGroups count="3">
    <measureGroup name="A" caption="A"/>
    <measureGroup name="Calendar" caption="Calendar"/>
    <measureGroup name="Sales Data" caption="Sales Data"/>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 refreshedDate="45987.901202199071" backgroundQuery="1" createdVersion="8" refreshedVersion="8" minRefreshableVersion="3" recordCount="0" supportSubquery="1" supportAdvancedDrill="1" xr:uid="{6990721D-8BB5-4110-8860-5365E0BE5A08}">
  <cacheSource type="external" connectionId="4"/>
  <cacheFields count="7">
    <cacheField name="[Calendar].[Year].[Year]" caption="Year" numFmtId="0" hierarchy="3" level="1">
      <sharedItems containsSemiMixedTypes="0" containsString="0" containsNumber="1" containsInteger="1" minValue="2003" maxValue="2005" count="3">
        <n v="2003"/>
        <n v="2004"/>
        <n v="2005"/>
      </sharedItems>
      <extLst>
        <ext xmlns:x15="http://schemas.microsoft.com/office/spreadsheetml/2010/11/main" uri="{4F2E5C28-24EA-4eb8-9CBF-B6C8F9C3D259}">
          <x15:cachedUniqueNames>
            <x15:cachedUniqueName index="0" name="[Calendar].[Year].&amp;[2003]"/>
            <x15:cachedUniqueName index="1" name="[Calendar].[Year].&amp;[2004]"/>
            <x15:cachedUniqueName index="2" name="[Calendar].[Year].&amp;[2005]"/>
          </x15:cachedUniqueNames>
        </ext>
      </extLst>
    </cacheField>
    <cacheField name="[Calendar].[Month].[Month]" caption="Month" numFmtId="0" hierarchy="5" level="1">
      <sharedItems count="7">
        <s v="Jan"/>
        <s v="Feb"/>
        <s v="Mar"/>
        <s v="Apr"/>
        <s v="May"/>
        <s v="Jun"/>
        <s v="Nov" u="1"/>
      </sharedItems>
      <extLst>
        <ext xmlns:x15="http://schemas.microsoft.com/office/spreadsheetml/2010/11/main" uri="{4F2E5C28-24EA-4eb8-9CBF-B6C8F9C3D259}">
          <x15:cachedUniqueNames>
            <x15:cachedUniqueName index="0" name="[Calendar].[Month].&amp;[Jan]"/>
            <x15:cachedUniqueName index="1" name="[Calendar].[Month].&amp;[Feb]"/>
            <x15:cachedUniqueName index="2" name="[Calendar].[Month].&amp;[Mar]"/>
            <x15:cachedUniqueName index="3" name="[Calendar].[Month].&amp;[Apr]"/>
            <x15:cachedUniqueName index="4" name="[Calendar].[Month].&amp;[May]"/>
            <x15:cachedUniqueName index="5" name="[Calendar].[Month].&amp;[Jun]"/>
            <x15:cachedUniqueName index="6" name="[Calendar].[Month].&amp;[Nov]"/>
          </x15:cachedUniqueNames>
        </ext>
      </extLst>
    </cacheField>
    <cacheField name="[Measures].[Total Revenue]" caption="Total Revenue" numFmtId="0" hierarchy="27" level="32767"/>
    <cacheField name="[Calendar].[Quarter].[Quarter]" caption="Quarter" numFmtId="0" hierarchy="6" level="1">
      <sharedItems count="4">
        <s v="Q1"/>
        <s v="Q2"/>
        <s v="Q3"/>
        <s v="Q4"/>
      </sharedItems>
      <extLst>
        <ext xmlns:x15="http://schemas.microsoft.com/office/spreadsheetml/2010/11/main" uri="{4F2E5C28-24EA-4eb8-9CBF-B6C8F9C3D259}">
          <x15:cachedUniqueNames>
            <x15:cachedUniqueName index="0" name="[Calendar].[Quarter].&amp;[Q1]"/>
            <x15:cachedUniqueName index="1" name="[Calendar].[Quarter].&amp;[Q2]"/>
            <x15:cachedUniqueName index="2" name="[Calendar].[Quarter].&amp;[Q3]"/>
            <x15:cachedUniqueName index="3" name="[Calendar].[Quarter].&amp;[Q4]"/>
          </x15:cachedUniqueNames>
        </ext>
      </extLst>
    </cacheField>
    <cacheField name="[Measures].[Rev LQ]" caption="Rev LQ" numFmtId="0" hierarchy="28" level="32767"/>
    <cacheField name="[Measures].[Var vs LQ]" caption="Var vs LQ" numFmtId="0" hierarchy="29" level="32767"/>
    <cacheField name="[Measures].[QoQ %]" caption="QoQ %" numFmtId="0" hierarchy="30" level="32767"/>
  </cacheFields>
  <cacheHierarchies count="45">
    <cacheHierarchy uniqueName="[A].[M]" caption="M" attribute="1" defaultMemberUniqueName="[A].[M].[All]" allUniqueName="[A].[M].[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Quarter]" caption="Quarter" attribute="1" time="1" defaultMemberUniqueName="[Calendar].[Quarter].[All]" allUniqueName="[Calendar].[Quarter].[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20" unbalanced="0"/>
    <cacheHierarchy uniqueName="[Sales Data].[Orderlinenumber]" caption="Orderlinenumber" attribute="1" defaultMemberUniqueName="[Sales Data].[Orderlinenumber].[All]" allUniqueName="[Sales Data].[Orderlinenumber].[All]" dimensionUniqueName="[Sales Data]" displayFolder="" count="0" memberValueDatatype="20" unbalanced="0"/>
    <cacheHierarchy uniqueName="[Sales Data].[Quantity Ordered]" caption="Quantity Ordered" attribute="1" defaultMemberUniqueName="[Sales Data].[Quantity Ordered].[All]" allUniqueName="[Sales Data].[Quantity Ordered].[All]" dimensionUniqueName="[Sales Data]" displayFolder="" count="0" memberValueDatatype="20" unbalanced="0"/>
    <cacheHierarchy uniqueName="[Sales Data].[Price Each]" caption="Price Each" attribute="1" defaultMemberUniqueName="[Sales Data].[Price Each].[All]" allUniqueName="[Sales Data].[Price Each].[All]" dimensionUniqueName="[Sales Data]"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atus]" caption="Status" attribute="1" defaultMemberUniqueName="[Sales Data].[Status].[All]" allUniqueName="[Sales Data].[Status].[All]" dimensionUniqueName="[Sales Data]" displayFolder="" count="0" memberValueDatatype="130" unbalanced="0"/>
    <cacheHierarchy uniqueName="[Sales Data].[Product line]" caption="Product line" attribute="1" defaultMemberUniqueName="[Sales Data].[Product line].[All]" allUniqueName="[Sales Data].[Product line].[All]" dimensionUniqueName="[Sales Data]" displayFolder="" count="0" memberValueDatatype="130" unbalanced="0"/>
    <cacheHierarchy uniqueName="[Sales Data].[Msrp]" caption="Msrp" attribute="1" defaultMemberUniqueName="[Sales Data].[Msrp].[All]" allUniqueName="[Sales Data].[Msrp].[All]" dimensionUniqueName="[Sales Data]" displayFolder="" count="0" memberValueDatatype="20" unbalanced="0"/>
    <cacheHierarchy uniqueName="[Sales Data].[Productcode]" caption="Productcode" attribute="1" defaultMemberUniqueName="[Sales Data].[Productcode].[All]" allUniqueName="[Sales Data].[Productcode].[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2" memberValueDatatype="130" unbalanced="0"/>
    <cacheHierarchy uniqueName="[Sales Data].[Territory]" caption="Territory" attribute="1" defaultMemberUniqueName="[Sales Data].[Territory].[All]" allUniqueName="[Sales Data].[Territory].[All]" dimensionUniqueName="[Sales Data]" displayFolder="" count="0" memberValueDatatype="130" unbalanced="0"/>
    <cacheHierarchy uniqueName="[Sales Data].[Contactfirstname]" caption="Contactfirstname" attribute="1" defaultMemberUniqueName="[Sales Data].[Contactfirstname].[All]" allUniqueName="[Sales Data].[Contactfirstname].[All]" dimensionUniqueName="[Sales Data]" displayFolder="" count="0" memberValueDatatype="130" unbalanced="0"/>
    <cacheHierarchy uniqueName="[Sales Data].[Contactlastname]" caption="Contactlastname" attribute="1" defaultMemberUniqueName="[Sales Data].[Contactlastname].[All]" allUniqueName="[Sales Data].[Contactlastname].[All]" dimensionUniqueName="[Sales Data]" displayFolder="" count="0" memberValueDatatype="130" unbalanced="0"/>
    <cacheHierarchy uniqueName="[Sales Data].[Dealsize]" caption="Dealsize" attribute="1" defaultMemberUniqueName="[Sales Data].[Dealsize].[All]" allUniqueName="[Sales Data].[Dealsize].[All]" dimensionUniqueName="[Sales Data]" displayFolder="" count="0" memberValueDatatype="130" unbalanced="0"/>
    <cacheHierarchy uniqueName="[Sales Data].[Total Sales]" caption="Total Sales" attribute="1" defaultMemberUniqueName="[Sales Data].[Total Sales].[All]" allUniqueName="[Sales Data].[Total Sales].[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hidden="1"/>
    <cacheHierarchy uniqueName="[Measures].[Total Revenue]" caption="Total Revenue" measure="1" displayFolder="" measureGroup="A" count="0" oneField="1">
      <fieldsUsage count="1">
        <fieldUsage x="2"/>
      </fieldsUsage>
    </cacheHierarchy>
    <cacheHierarchy uniqueName="[Measures].[Rev LQ]" caption="Rev LQ" measure="1" displayFolder="" measureGroup="A" count="0" oneField="1">
      <fieldsUsage count="1">
        <fieldUsage x="4"/>
      </fieldsUsage>
    </cacheHierarchy>
    <cacheHierarchy uniqueName="[Measures].[Var vs LQ]" caption="Var vs LQ" measure="1" displayFolder="" measureGroup="A" count="0" oneField="1">
      <fieldsUsage count="1">
        <fieldUsage x="5"/>
      </fieldsUsage>
    </cacheHierarchy>
    <cacheHierarchy uniqueName="[Measures].[QoQ %]" caption="QoQ %" measure="1" displayFolder="" measureGroup="A" count="0" oneField="1">
      <fieldsUsage count="1">
        <fieldUsage x="6"/>
      </fieldsUsage>
    </cacheHierarchy>
    <cacheHierarchy uniqueName="[Measures].[Kpi lessthan20000]" caption="Kpi lessthan20000" measure="1" displayFolder="" measureGroup="A" count="0"/>
    <cacheHierarchy uniqueName="[Measures].[Qty Sold]" caption="Qty Sold" measure="1" displayFolder="" measureGroup="A" count="0"/>
    <cacheHierarchy uniqueName="[Measures].[Avg Price]" caption="Avg Price" measure="1" displayFolder="" measureGroup="A" count="0"/>
    <cacheHierarchy uniqueName="[Measures].[# of Order]" caption="# of Order" measure="1" displayFolder="" measureGroup="A" count="0"/>
    <cacheHierarchy uniqueName="[Measures].[Avg Qty Per Order]" caption="Avg Qty Per Order" measure="1" displayFolder="" measureGroup="A" count="0"/>
    <cacheHierarchy uniqueName="[Measures].[Chk_Top10_Date]" caption="Chk_Top10_Date" measure="1" displayFolder="" measureGroup="A" count="0"/>
    <cacheHierarchy uniqueName="[Measures].[QTD]" caption="QTD" measure="1" displayFolder="" measureGroup="A" count="0"/>
    <cacheHierarchy uniqueName="[Measures].[QTD LQ]" caption="QTD LQ" measure="1" displayFolder="" measureGroup="A" count="0"/>
    <cacheHierarchy uniqueName="[Measures].[Var QTD vs LQ]" caption="Var QTD vs LQ" measure="1" displayFolder="" measureGroup="A" count="0"/>
    <cacheHierarchy uniqueName="[Measures].[Qty Sold Vs LQ]" caption="Qty Sold Vs LQ" measure="1" displayFolder="" measureGroup="A" count="0"/>
    <cacheHierarchy uniqueName="[Measures].[__XL_Count Sales Data]" caption="__XL_Count Sales Data" measure="1" displayFolder="" measureGroup="Sales 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measure="1" name="Measures" uniqueName="[Measures]" caption="Measures"/>
    <dimension name="Sales Data" uniqueName="[Sales Data]" caption="Sales Data"/>
  </dimensions>
  <measureGroups count="3">
    <measureGroup name="A" caption="A"/>
    <measureGroup name="Calendar" caption="Calendar"/>
    <measureGroup name="Sales Data" caption="Sales Data"/>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 refreshedDate="45985.783812268521" backgroundQuery="1" createdVersion="3" refreshedVersion="8" minRefreshableVersion="3" recordCount="0" supportSubquery="1" supportAdvancedDrill="1" xr:uid="{175CC362-6721-426F-8776-34F743035EF5}">
  <cacheSource type="external" connectionId="4">
    <extLst>
      <ext xmlns:x14="http://schemas.microsoft.com/office/spreadsheetml/2009/9/main" uri="{F057638F-6D5F-4e77-A914-E7F072B9BCA8}">
        <x14:sourceConnection name="ThisWorkbookDataModel"/>
      </ext>
    </extLst>
  </cacheSource>
  <cacheFields count="0"/>
  <cacheHierarchies count="45">
    <cacheHierarchy uniqueName="[A].[M]" caption="M" attribute="1" defaultMemberUniqueName="[A].[M].[All]" allUniqueName="[A].[M].[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20" unbalanced="0"/>
    <cacheHierarchy uniqueName="[Sales Data].[Orderlinenumber]" caption="Orderlinenumber" attribute="1" defaultMemberUniqueName="[Sales Data].[Orderlinenumber].[All]" allUniqueName="[Sales Data].[Orderlinenumber].[All]" dimensionUniqueName="[Sales Data]" displayFolder="" count="0" memberValueDatatype="20" unbalanced="0"/>
    <cacheHierarchy uniqueName="[Sales Data].[Quantity Ordered]" caption="Quantity Ordered" attribute="1" defaultMemberUniqueName="[Sales Data].[Quantity Ordered].[All]" allUniqueName="[Sales Data].[Quantity Ordered].[All]" dimensionUniqueName="[Sales Data]" displayFolder="" count="0" memberValueDatatype="20" unbalanced="0"/>
    <cacheHierarchy uniqueName="[Sales Data].[Price Each]" caption="Price Each" attribute="1" defaultMemberUniqueName="[Sales Data].[Price Each].[All]" allUniqueName="[Sales Data].[Price Each].[All]" dimensionUniqueName="[Sales Data]"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atus]" caption="Status" attribute="1" defaultMemberUniqueName="[Sales Data].[Status].[All]" allUniqueName="[Sales Data].[Status].[All]" dimensionUniqueName="[Sales Data]" displayFolder="" count="0" memberValueDatatype="130" unbalanced="0"/>
    <cacheHierarchy uniqueName="[Sales Data].[Product line]" caption="Product line" attribute="1" defaultMemberUniqueName="[Sales Data].[Product line].[All]" allUniqueName="[Sales Data].[Product line].[All]" dimensionUniqueName="[Sales Data]" displayFolder="" count="0" memberValueDatatype="130" unbalanced="0"/>
    <cacheHierarchy uniqueName="[Sales Data].[Msrp]" caption="Msrp" attribute="1" defaultMemberUniqueName="[Sales Data].[Msrp].[All]" allUniqueName="[Sales Data].[Msrp].[All]" dimensionUniqueName="[Sales Data]" displayFolder="" count="0" memberValueDatatype="20" unbalanced="0"/>
    <cacheHierarchy uniqueName="[Sales Data].[Productcode]" caption="Productcode" attribute="1" defaultMemberUniqueName="[Sales Data].[Productcode].[All]" allUniqueName="[Sales Data].[Productcode].[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0" memberValueDatatype="130" unbalanced="0"/>
    <cacheHierarchy uniqueName="[Sales Data].[Territory]" caption="Territory" attribute="1" defaultMemberUniqueName="[Sales Data].[Territory].[All]" allUniqueName="[Sales Data].[Territory].[All]" dimensionUniqueName="[Sales Data]" displayFolder="" count="0" memberValueDatatype="130" unbalanced="0"/>
    <cacheHierarchy uniqueName="[Sales Data].[Contactfirstname]" caption="Contactfirstname" attribute="1" defaultMemberUniqueName="[Sales Data].[Contactfirstname].[All]" allUniqueName="[Sales Data].[Contactfirstname].[All]" dimensionUniqueName="[Sales Data]" displayFolder="" count="0" memberValueDatatype="130" unbalanced="0"/>
    <cacheHierarchy uniqueName="[Sales Data].[Contactlastname]" caption="Contactlastname" attribute="1" defaultMemberUniqueName="[Sales Data].[Contactlastname].[All]" allUniqueName="[Sales Data].[Contactlastname].[All]" dimensionUniqueName="[Sales Data]" displayFolder="" count="0" memberValueDatatype="130" unbalanced="0"/>
    <cacheHierarchy uniqueName="[Sales Data].[Dealsize]" caption="Dealsize" attribute="1" defaultMemberUniqueName="[Sales Data].[Dealsize].[All]" allUniqueName="[Sales Data].[Dealsize].[All]" dimensionUniqueName="[Sales Data]" displayFolder="" count="0" memberValueDatatype="130" unbalanced="0"/>
    <cacheHierarchy uniqueName="[Sales Data].[Total Sales]" caption="Total Sales" attribute="1" defaultMemberUniqueName="[Sales Data].[Total Sales].[All]" allUniqueName="[Sales Data].[Total Sales].[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hidden="1"/>
    <cacheHierarchy uniqueName="[Measures].[Total Revenue]" caption="Total Revenue" measure="1" displayFolder="" measureGroup="A" count="0"/>
    <cacheHierarchy uniqueName="[Measures].[Rev LQ]" caption="Rev LQ" measure="1" displayFolder="" measureGroup="A" count="0"/>
    <cacheHierarchy uniqueName="[Measures].[Var vs LQ]" caption="Var vs LQ" measure="1" displayFolder="" measureGroup="A" count="0"/>
    <cacheHierarchy uniqueName="[Measures].[QoQ %]" caption="QoQ %" measure="1" displayFolder="" measureGroup="A" count="0"/>
    <cacheHierarchy uniqueName="[Measures].[Kpi lessthan20000]" caption="Kpi lessthan20000" measure="1" displayFolder="" measureGroup="A" count="0"/>
    <cacheHierarchy uniqueName="[Measures].[Qty Sold]" caption="Qty Sold" measure="1" displayFolder="" measureGroup="A" count="0"/>
    <cacheHierarchy uniqueName="[Measures].[Avg Price]" caption="Avg Price" measure="1" displayFolder="" measureGroup="A" count="0"/>
    <cacheHierarchy uniqueName="[Measures].[# of Order]" caption="# of Order" measure="1" displayFolder="" measureGroup="A" count="0"/>
    <cacheHierarchy uniqueName="[Measures].[Avg Qty Per Order]" caption="Avg Qty Per Order" measure="1" displayFolder="" measureGroup="A" count="0"/>
    <cacheHierarchy uniqueName="[Measures].[Chk_Top10_Date]" caption="Chk_Top10_Date" measure="1" displayFolder="" measureGroup="A" count="0"/>
    <cacheHierarchy uniqueName="[Measures].[QTD]" caption="QTD" measure="1" displayFolder="" measureGroup="A" count="0"/>
    <cacheHierarchy uniqueName="[Measures].[QTD LQ]" caption="QTD LQ" measure="1" displayFolder="" measureGroup="A" count="0"/>
    <cacheHierarchy uniqueName="[Measures].[Var QTD vs LQ]" caption="Var QTD vs LQ" measure="1" displayFolder="" measureGroup="A" count="0"/>
    <cacheHierarchy uniqueName="[Measures].[Qty Sold Vs LQ]" caption="Qty Sold Vs LQ" measure="1" displayFolder="" measureGroup="A" count="0"/>
    <cacheHierarchy uniqueName="[Measures].[__XL_Count Sales Data]" caption="__XL_Count Sales Data" measure="1" displayFolder="" measureGroup="Sales 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699471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 refreshedDate="45985.783819791664" backgroundQuery="1" createdVersion="3" refreshedVersion="8" minRefreshableVersion="3" recordCount="0" supportSubquery="1" supportAdvancedDrill="1" xr:uid="{71A6414E-163A-4E0A-94A2-AB4036B40377}">
  <cacheSource type="external" connectionId="4">
    <extLst>
      <ext xmlns:x14="http://schemas.microsoft.com/office/spreadsheetml/2009/9/main" uri="{F057638F-6D5F-4e77-A914-E7F072B9BCA8}">
        <x14:sourceConnection name="ThisWorkbookDataModel"/>
      </ext>
    </extLst>
  </cacheSource>
  <cacheFields count="0"/>
  <cacheHierarchies count="45">
    <cacheHierarchy uniqueName="[A].[M]" caption="M" attribute="1" defaultMemberUniqueName="[A].[M].[All]" allUniqueName="[A].[M].[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 Data].[Ordernumber]" caption="Ordernumber" attribute="1" defaultMemberUniqueName="[Sales Data].[Ordernumber].[All]" allUniqueName="[Sales Data].[Ordernumber].[All]" dimensionUniqueName="[Sales Data]" displayFolder="" count="0" memberValueDatatype="20" unbalanced="0"/>
    <cacheHierarchy uniqueName="[Sales Data].[Orderlinenumber]" caption="Orderlinenumber" attribute="1" defaultMemberUniqueName="[Sales Data].[Orderlinenumber].[All]" allUniqueName="[Sales Data].[Orderlinenumber].[All]" dimensionUniqueName="[Sales Data]" displayFolder="" count="0" memberValueDatatype="20" unbalanced="0"/>
    <cacheHierarchy uniqueName="[Sales Data].[Quantity Ordered]" caption="Quantity Ordered" attribute="1" defaultMemberUniqueName="[Sales Data].[Quantity Ordered].[All]" allUniqueName="[Sales Data].[Quantity Ordered].[All]" dimensionUniqueName="[Sales Data]" displayFolder="" count="0" memberValueDatatype="20" unbalanced="0"/>
    <cacheHierarchy uniqueName="[Sales Data].[Price Each]" caption="Price Each" attribute="1" defaultMemberUniqueName="[Sales Data].[Price Each].[All]" allUniqueName="[Sales Data].[Price Each].[All]" dimensionUniqueName="[Sales Data]" displayFolder="" count="0" memberValueDatatype="5" unbalanced="0"/>
    <cacheHierarchy uniqueName="[Sales Data].[Orderdate]" caption="Orderdate" attribute="1" time="1" defaultMemberUniqueName="[Sales Data].[Orderdate].[All]" allUniqueName="[Sales Data].[Orderdate].[All]" dimensionUniqueName="[Sales Data]" displayFolder="" count="0" memberValueDatatype="7" unbalanced="0"/>
    <cacheHierarchy uniqueName="[Sales Data].[Status]" caption="Status" attribute="1" defaultMemberUniqueName="[Sales Data].[Status].[All]" allUniqueName="[Sales Data].[Status].[All]" dimensionUniqueName="[Sales Data]" displayFolder="" count="0" memberValueDatatype="130" unbalanced="0"/>
    <cacheHierarchy uniqueName="[Sales Data].[Product line]" caption="Product line" attribute="1" defaultMemberUniqueName="[Sales Data].[Product line].[All]" allUniqueName="[Sales Data].[Product line].[All]" dimensionUniqueName="[Sales Data]" displayFolder="" count="0" memberValueDatatype="130" unbalanced="0"/>
    <cacheHierarchy uniqueName="[Sales Data].[Msrp]" caption="Msrp" attribute="1" defaultMemberUniqueName="[Sales Data].[Msrp].[All]" allUniqueName="[Sales Data].[Msrp].[All]" dimensionUniqueName="[Sales Data]" displayFolder="" count="0" memberValueDatatype="20" unbalanced="0"/>
    <cacheHierarchy uniqueName="[Sales Data].[Productcode]" caption="Productcode" attribute="1" defaultMemberUniqueName="[Sales Data].[Productcode].[All]" allUniqueName="[Sales Data].[Productcode].[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2" memberValueDatatype="130" unbalanced="0"/>
    <cacheHierarchy uniqueName="[Sales Data].[Territory]" caption="Territory" attribute="1" defaultMemberUniqueName="[Sales Data].[Territory].[All]" allUniqueName="[Sales Data].[Territory].[All]" dimensionUniqueName="[Sales Data]" displayFolder="" count="0" memberValueDatatype="130" unbalanced="0"/>
    <cacheHierarchy uniqueName="[Sales Data].[Contactfirstname]" caption="Contactfirstname" attribute="1" defaultMemberUniqueName="[Sales Data].[Contactfirstname].[All]" allUniqueName="[Sales Data].[Contactfirstname].[All]" dimensionUniqueName="[Sales Data]" displayFolder="" count="0" memberValueDatatype="130" unbalanced="0"/>
    <cacheHierarchy uniqueName="[Sales Data].[Contactlastname]" caption="Contactlastname" attribute="1" defaultMemberUniqueName="[Sales Data].[Contactlastname].[All]" allUniqueName="[Sales Data].[Contactlastname].[All]" dimensionUniqueName="[Sales Data]" displayFolder="" count="0" memberValueDatatype="130" unbalanced="0"/>
    <cacheHierarchy uniqueName="[Sales Data].[Dealsize]" caption="Dealsize" attribute="1" defaultMemberUniqueName="[Sales Data].[Dealsize].[All]" allUniqueName="[Sales Data].[Dealsize].[All]" dimensionUniqueName="[Sales Data]" displayFolder="" count="0" memberValueDatatype="130" unbalanced="0"/>
    <cacheHierarchy uniqueName="[Sales Data].[Total Sales]" caption="Total Sales" attribute="1" defaultMemberUniqueName="[Sales Data].[Total Sales].[All]" allUniqueName="[Sales Data].[Total Sales].[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hidden="1"/>
    <cacheHierarchy uniqueName="[Measures].[Total Revenue]" caption="Total Revenue" measure="1" displayFolder="" measureGroup="A" count="0"/>
    <cacheHierarchy uniqueName="[Measures].[Rev LQ]" caption="Rev LQ" measure="1" displayFolder="" measureGroup="A" count="0"/>
    <cacheHierarchy uniqueName="[Measures].[Var vs LQ]" caption="Var vs LQ" measure="1" displayFolder="" measureGroup="A" count="0"/>
    <cacheHierarchy uniqueName="[Measures].[QoQ %]" caption="QoQ %" measure="1" displayFolder="" measureGroup="A" count="0"/>
    <cacheHierarchy uniqueName="[Measures].[Kpi lessthan20000]" caption="Kpi lessthan20000" measure="1" displayFolder="" measureGroup="A" count="0"/>
    <cacheHierarchy uniqueName="[Measures].[Qty Sold]" caption="Qty Sold" measure="1" displayFolder="" measureGroup="A" count="0"/>
    <cacheHierarchy uniqueName="[Measures].[Avg Price]" caption="Avg Price" measure="1" displayFolder="" measureGroup="A" count="0"/>
    <cacheHierarchy uniqueName="[Measures].[# of Order]" caption="# of Order" measure="1" displayFolder="" measureGroup="A" count="0"/>
    <cacheHierarchy uniqueName="[Measures].[Avg Qty Per Order]" caption="Avg Qty Per Order" measure="1" displayFolder="" measureGroup="A" count="0"/>
    <cacheHierarchy uniqueName="[Measures].[Chk_Top10_Date]" caption="Chk_Top10_Date" measure="1" displayFolder="" measureGroup="A" count="0"/>
    <cacheHierarchy uniqueName="[Measures].[QTD]" caption="QTD" measure="1" displayFolder="" measureGroup="A" count="0"/>
    <cacheHierarchy uniqueName="[Measures].[QTD LQ]" caption="QTD LQ" measure="1" displayFolder="" measureGroup="A" count="0"/>
    <cacheHierarchy uniqueName="[Measures].[Var QTD vs LQ]" caption="Var QTD vs LQ" measure="1" displayFolder="" measureGroup="A" count="0"/>
    <cacheHierarchy uniqueName="[Measures].[Qty Sold Vs LQ]" caption="Qty Sold Vs LQ" measure="1" displayFolder="" measureGroup="A" count="0"/>
    <cacheHierarchy uniqueName="[Measures].[__XL_Count Sales Data]" caption="__XL_Count Sales Data" measure="1" displayFolder="" measureGroup="Sales 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712619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743BB7-008C-4D2F-A84E-7C3F6F2569D2}" name="PivotTable7" cacheId="8" applyNumberFormats="0" applyBorderFormats="0" applyFontFormats="0" applyPatternFormats="0" applyAlignmentFormats="0" applyWidthHeightFormats="1" dataCaption="Values" tag="cc512f9a-eff0-4373-ad7e-98958f8a2739" updatedVersion="8" minRefreshableVersion="3" useAutoFormatting="1" subtotalHiddenItems="1" itemPrintTitles="1" createdVersion="8" indent="0" outline="1" outlineData="1" multipleFieldFilters="0" chartFormat="16" rowHeaderCaption="Year">
  <location ref="O11:P44"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0"/>
    <field x="1"/>
  </rowFields>
  <rowItems count="3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t="grand">
      <x/>
    </i>
  </rowItems>
  <colItems count="1">
    <i/>
  </colItems>
  <dataFields count="1">
    <dataField fld="2" subtotal="count" baseField="0" baseItem="0"/>
  </dataFields>
  <chartFormats count="2">
    <chartFormat chart="12" format="6" series="1">
      <pivotArea type="data" outline="0" fieldPosition="0">
        <references count="1">
          <reference field="4294967294" count="1" selected="0">
            <x v="0"/>
          </reference>
        </references>
      </pivotArea>
    </chartFormat>
    <chartFormat chart="12" format="7">
      <pivotArea type="data" outline="0" fieldPosition="0">
        <references count="3">
          <reference field="4294967294" count="1" selected="0">
            <x v="0"/>
          </reference>
          <reference field="0" count="1" selected="0">
            <x v="1"/>
          </reference>
          <reference field="1" count="1" selected="0">
            <x v="10"/>
          </reference>
        </references>
      </pivotArea>
    </chartFormat>
  </chartFormats>
  <pivotHierarchies count="4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9AE86D-9366-46F6-A1FF-84CFC7B7330C}" name="PivotTable6" cacheId="7" applyNumberFormats="0" applyBorderFormats="0" applyFontFormats="0" applyPatternFormats="0" applyAlignmentFormats="0" applyWidthHeightFormats="1" dataCaption="Values" tag="805d1a28-9889-45d1-a8c3-c1eac8751790" updatedVersion="8" minRefreshableVersion="3" useAutoFormatting="1" subtotalHiddenItems="1" itemPrintTitles="1" createdVersion="8" indent="0" outline="1" outlineData="1" multipleFieldFilters="0" chartFormat="5">
  <location ref="A6:D7"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numFmtId="3"/>
    <dataField fld="2" subtotal="count" baseField="0" baseItem="0"/>
    <dataField fld="3" subtotal="count" baseField="0" baseItem="0"/>
  </dataFields>
  <formats count="1">
    <format dxfId="4">
      <pivotArea outline="0" collapsedLevelsAreSubtotals="1" fieldPosition="0">
        <references count="1">
          <reference field="4294967294" count="1" selected="0">
            <x v="1"/>
          </reference>
        </references>
      </pivotArea>
    </format>
  </formats>
  <pivotHierarchies count="4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57D889-88AD-493B-A7A1-07C92AE33F49}" name="PivotTable2" cacheId="0" applyNumberFormats="0" applyBorderFormats="0" applyFontFormats="0" applyPatternFormats="0" applyAlignmentFormats="0" applyWidthHeightFormats="1" dataCaption="Values" tag="f3099160-f5fc-48cc-ba2a-4114b29ca4a5" updatedVersion="8" minRefreshableVersion="3" useAutoFormatting="1" subtotalHiddenItems="1" itemPrintTitles="1" createdVersion="8" indent="0" outline="1" outlineData="1" multipleFieldFilters="0" rowHeaderCaption="Year">
  <location ref="I11:M37"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3">
        <item x="0"/>
        <item x="1"/>
        <item x="2" e="0"/>
      </items>
    </pivotField>
    <pivotField axis="axisRow" allDrilled="1" subtotalTop="0" showAll="0" dataSourceSort="1" defaultSubtotal="0" defaultAttributeDrillState="1">
      <items count="4">
        <item x="0"/>
        <item x="1" e="0"/>
        <item x="2" e="0"/>
        <item x="3" e="0"/>
      </items>
    </pivotField>
    <pivotField dataField="1" subtotalTop="0" showAll="0" defaultSubtotal="0"/>
    <pivotField dataField="1" subtotalTop="0" showAll="0" defaultSubtotal="0"/>
  </pivotFields>
  <rowFields count="3">
    <field x="3"/>
    <field x="4"/>
    <field x="2"/>
  </rowFields>
  <rowItems count="26">
    <i>
      <x/>
    </i>
    <i r="1">
      <x/>
    </i>
    <i r="2">
      <x/>
    </i>
    <i r="2">
      <x v="1"/>
    </i>
    <i r="2">
      <x v="2"/>
    </i>
    <i r="2">
      <x v="3"/>
    </i>
    <i r="2">
      <x v="4"/>
    </i>
    <i r="2">
      <x v="5"/>
    </i>
    <i r="2">
      <x v="6"/>
    </i>
    <i r="1">
      <x v="1"/>
    </i>
    <i r="1">
      <x v="2"/>
    </i>
    <i r="1">
      <x v="3"/>
    </i>
    <i>
      <x v="1"/>
    </i>
    <i r="1">
      <x/>
    </i>
    <i r="2">
      <x/>
    </i>
    <i r="2">
      <x v="1"/>
    </i>
    <i r="2">
      <x v="2"/>
    </i>
    <i r="2">
      <x v="3"/>
    </i>
    <i r="2">
      <x v="4"/>
    </i>
    <i r="2">
      <x v="5"/>
    </i>
    <i r="2">
      <x v="6"/>
    </i>
    <i r="1">
      <x v="1"/>
    </i>
    <i r="1">
      <x v="2"/>
    </i>
    <i r="1">
      <x v="3"/>
    </i>
    <i>
      <x v="2"/>
    </i>
    <i t="grand">
      <x/>
    </i>
  </rowItems>
  <colFields count="1">
    <field x="-2"/>
  </colFields>
  <colItems count="4">
    <i>
      <x/>
    </i>
    <i i="1">
      <x v="1"/>
    </i>
    <i i="2">
      <x v="2"/>
    </i>
    <i i="3">
      <x v="3"/>
    </i>
  </colItems>
  <dataFields count="4">
    <dataField fld="0" subtotal="count" baseField="0" baseItem="0"/>
    <dataField fld="1" subtotal="count" baseField="0" baseItem="0"/>
    <dataField fld="5" subtotal="count" baseField="0" baseItem="0"/>
    <dataField fld="6" subtotal="count" baseField="0" baseItem="0"/>
  </dataFields>
  <formats count="2">
    <format dxfId="6">
      <pivotArea dataOnly="0" labelOnly="1" outline="0" fieldPosition="0">
        <references count="1">
          <reference field="4294967294" count="4">
            <x v="0"/>
            <x v="1"/>
            <x v="2"/>
            <x v="3"/>
          </reference>
        </references>
      </pivotArea>
    </format>
    <format dxfId="5">
      <pivotArea dataOnly="0" labelOnly="1" outline="0" fieldPosition="0">
        <references count="1">
          <reference field="4294967294" count="4">
            <x v="0"/>
            <x v="1"/>
            <x v="2"/>
            <x v="3"/>
          </reference>
        </references>
      </pivotArea>
    </format>
  </formats>
  <pivotHierarchies count="4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3"/>
    <rowHierarchyUsage hierarchyUsage="6"/>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
        <x15:activeTabTopLevelEntity name="[Calendar]"/>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B75361-C945-472F-96A4-3FC02CBC5B4D}" name="Rev Over Time" cacheId="3" applyNumberFormats="0" applyBorderFormats="0" applyFontFormats="0" applyPatternFormats="0" applyAlignmentFormats="0" applyWidthHeightFormats="1" dataCaption="Values" tag="5b8b31ee-4a7b-4486-a8ac-7dc38e89b41c" updatedVersion="8" minRefreshableVersion="3" useAutoFormatting="1" subtotalHiddenItems="1" itemPrintTitles="1" createdVersion="8" indent="0" outline="1" outlineData="1" multipleFieldFilters="0" chartFormat="16" rowHeaderCaption="Year">
  <location ref="A81:B114"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0"/>
    <field x="1"/>
  </rowFields>
  <rowItems count="3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t="grand">
      <x/>
    </i>
  </rowItems>
  <colItems count="1">
    <i/>
  </colItems>
  <dataFields count="1">
    <dataField fld="2" subtotal="count" baseField="0" baseItem="0"/>
  </dataFields>
  <chartFormats count="2">
    <chartFormat chart="12" format="6" series="1">
      <pivotArea type="data" outline="0" fieldPosition="0">
        <references count="1">
          <reference field="4294967294" count="1" selected="0">
            <x v="0"/>
          </reference>
        </references>
      </pivotArea>
    </chartFormat>
    <chartFormat chart="12" format="7">
      <pivotArea type="data" outline="0" fieldPosition="0">
        <references count="3">
          <reference field="4294967294" count="1" selected="0">
            <x v="0"/>
          </reference>
          <reference field="0" count="1" selected="0">
            <x v="1"/>
          </reference>
          <reference field="1" count="1" selected="0">
            <x v="10"/>
          </reference>
        </references>
      </pivotArea>
    </chartFormat>
  </chartFormats>
  <pivotHierarchies count="4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45EFF8-8183-4D95-9BB4-DD52087ABB16}" name="Top 10 Customer" cacheId="6" applyNumberFormats="0" applyBorderFormats="0" applyFontFormats="0" applyPatternFormats="0" applyAlignmentFormats="0" applyWidthHeightFormats="1" dataCaption="Values" tag="fbb29bdf-71ad-420c-afda-3f883d6487ba" updatedVersion="8" minRefreshableVersion="3" subtotalHiddenItems="1" itemPrintTitles="1" createdVersion="8" indent="0" outline="1" outlineData="1" multipleFieldFilters="0" chartFormat="16" rowHeaderCaption="Customer Name">
  <location ref="A55:B66" firstHeaderRow="1" firstDataRow="1" firstDataCol="1"/>
  <pivotFields count="3">
    <pivotField dataField="1" subtotalTop="0" showAll="0" defaultSubtotal="0"/>
    <pivotField allDrilled="1" subtotalTop="0" showAll="0" sortType="a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2"/>
    </i>
    <i>
      <x v="8"/>
    </i>
    <i>
      <x v="9"/>
    </i>
    <i>
      <x v="1"/>
    </i>
    <i>
      <x v="5"/>
    </i>
    <i>
      <x v="7"/>
    </i>
    <i>
      <x v="4"/>
    </i>
    <i>
      <x/>
    </i>
    <i>
      <x v="6"/>
    </i>
    <i>
      <x v="3"/>
    </i>
    <i t="grand">
      <x/>
    </i>
  </rowItems>
  <colItems count="1">
    <i/>
  </colItems>
  <dataFields count="1">
    <dataField name="Revenue" fld="0" subtotal="count"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5">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caption="Rev LQ"/>
    <pivotHierarchy dragToRow="0" dragToCol="0" dragToPage="0" dragToData="1"/>
    <pivotHierarchy dragToRow="0" dragToCol="0" dragToPage="0" dragToData="1"/>
    <pivotHierarchy dragToRow="0" dragToCol="0" dragToPage="0" dragToData="1" caption="Kpi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27">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Calendar]"/>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0635B8-6109-45D9-885A-E15423E6F4BE}" name="Rev By Country" cacheId="5" applyNumberFormats="0" applyBorderFormats="0" applyFontFormats="0" applyPatternFormats="0" applyAlignmentFormats="0" applyWidthHeightFormats="1" dataCaption="Values" tag="17a8fd9e-1e13-4413-bf65-70d8c7aca2db" updatedVersion="8" minRefreshableVersion="3" subtotalHiddenItems="1" itemPrintTitles="1" createdVersion="8" indent="0" outline="1" outlineData="1" multipleFieldFilters="0" chartFormat="8">
  <location ref="A31:C51" firstHeaderRow="0" firstDataRow="1" firstDataCol="1"/>
  <pivotFields count="3">
    <pivotField dataField="1" subtotalTop="0" showAll="0" defaultSubtotal="0"/>
    <pivotField axis="axisRow" allDrilled="1" subtotalTop="0" showAll="0" sortType="a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20">
    <i>
      <x v="8"/>
    </i>
    <i>
      <x v="12"/>
    </i>
    <i>
      <x v="16"/>
    </i>
    <i>
      <x v="2"/>
    </i>
    <i>
      <x v="10"/>
    </i>
    <i>
      <x v="1"/>
    </i>
    <i>
      <x v="15"/>
    </i>
    <i>
      <x v="7"/>
    </i>
    <i>
      <x v="4"/>
    </i>
    <i>
      <x v="3"/>
    </i>
    <i>
      <x v="13"/>
    </i>
    <i>
      <x v="11"/>
    </i>
    <i>
      <x v="5"/>
    </i>
    <i>
      <x v="9"/>
    </i>
    <i>
      <x v="17"/>
    </i>
    <i>
      <x/>
    </i>
    <i>
      <x v="6"/>
    </i>
    <i>
      <x v="14"/>
    </i>
    <i>
      <x v="18"/>
    </i>
    <i t="grand">
      <x/>
    </i>
  </rowItems>
  <colFields count="1">
    <field x="-2"/>
  </colFields>
  <colItems count="2">
    <i>
      <x/>
    </i>
    <i i="1">
      <x v="1"/>
    </i>
  </colItems>
  <dataFields count="2">
    <dataField name="Revenue" fld="0" subtotal="count" baseField="0" baseItem="0"/>
    <dataField fld="2" subtotal="count"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s>
  <pivotHierarchies count="45">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caption="Rev LQ"/>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Calendar]"/>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A1BD18-E867-465B-92B2-DB7424372D9C}" name="PivotTable9" cacheId="2" applyNumberFormats="0" applyBorderFormats="0" applyFontFormats="0" applyPatternFormats="0" applyAlignmentFormats="0" applyWidthHeightFormats="1" dataCaption="Values" tag="36817e04-63bc-4536-9715-c10412a18e1e" updatedVersion="8" minRefreshableVersion="3" subtotalHiddenItems="1" itemPrintTitles="1" createdVersion="8" indent="0" outline="1" outlineData="1" multipleFieldFilters="0" chartFormat="12" rowHeaderCaption="Customer Name">
  <location ref="C55:C56" firstHeaderRow="1" firstDataRow="1" firstDataCol="0"/>
  <pivotFields count="4">
    <pivotField dataField="1" subtotalTop="0" showAll="0" defaultSubtotal="0"/>
    <pivotField allDrilled="1" subtotalTop="0" showAll="0" sortType="a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Items count="1">
    <i/>
  </rowItems>
  <colItems count="1">
    <i/>
  </colItems>
  <dataFields count="1">
    <dataField name="Revenue" fld="0" subtotal="count" baseField="0" baseItem="0"/>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5">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caption="Rev LQ"/>
    <pivotHierarchy dragToRow="0" dragToCol="0" dragToPage="0" dragToData="1"/>
    <pivotHierarchy dragToRow="0" dragToCol="0" dragToPage="0" dragToData="1"/>
    <pivotHierarchy dragToRow="0" dragToCol="0" dragToPage="0" dragToData="1" caption="Kpi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2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Calendar]"/>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D5454C-B68F-444F-A3B9-1EFF5FE5D9CC}" name="Qty By Status" cacheId="4" applyNumberFormats="0" applyBorderFormats="0" applyFontFormats="0" applyPatternFormats="0" applyAlignmentFormats="0" applyWidthHeightFormats="1" dataCaption="Values" tag="32522d04-cc88-4c35-9785-1c834edbf5e8" updatedVersion="8" minRefreshableVersion="3" useAutoFormatting="1" subtotalHiddenItems="1" itemPrintTitles="1" createdVersion="8" indent="0" outline="1" outlineData="1" multipleFieldFilters="0" chartFormat="5">
  <location ref="A69:B76"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5"/>
    </i>
    <i>
      <x/>
    </i>
    <i>
      <x v="3"/>
    </i>
    <i>
      <x v="4"/>
    </i>
    <i>
      <x v="2"/>
    </i>
    <i>
      <x v="1"/>
    </i>
    <i t="grand">
      <x/>
    </i>
  </rowItems>
  <colItems count="1">
    <i/>
  </colItems>
  <dataFields count="1">
    <dataField fld="1" subtotal="count" showDataAs="percentOfTotal" baseField="0" baseItem="0" numFmtId="10"/>
  </dataFields>
  <chartFormats count="7">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0" count="1" selected="0">
            <x v="5"/>
          </reference>
        </references>
      </pivotArea>
    </chartFormat>
    <chartFormat chart="3" format="16">
      <pivotArea type="data" outline="0" fieldPosition="0">
        <references count="2">
          <reference field="4294967294" count="1" selected="0">
            <x v="0"/>
          </reference>
          <reference field="0" count="1" selected="0">
            <x v="0"/>
          </reference>
        </references>
      </pivotArea>
    </chartFormat>
    <chartFormat chart="3" format="17">
      <pivotArea type="data" outline="0" fieldPosition="0">
        <references count="2">
          <reference field="4294967294" count="1" selected="0">
            <x v="0"/>
          </reference>
          <reference field="0" count="1" selected="0">
            <x v="3"/>
          </reference>
        </references>
      </pivotArea>
    </chartFormat>
    <chartFormat chart="3" format="18">
      <pivotArea type="data" outline="0" fieldPosition="0">
        <references count="2">
          <reference field="4294967294" count="1" selected="0">
            <x v="0"/>
          </reference>
          <reference field="0" count="1" selected="0">
            <x v="4"/>
          </reference>
        </references>
      </pivotArea>
    </chartFormat>
    <chartFormat chart="3" format="19">
      <pivotArea type="data" outline="0" fieldPosition="0">
        <references count="2">
          <reference field="4294967294" count="1" selected="0">
            <x v="0"/>
          </reference>
          <reference field="0" count="1" selected="0">
            <x v="2"/>
          </reference>
        </references>
      </pivotArea>
    </chartFormat>
    <chartFormat chart="3" format="20">
      <pivotArea type="data" outline="0" fieldPosition="0">
        <references count="2">
          <reference field="4294967294" count="1" selected="0">
            <x v="0"/>
          </reference>
          <reference field="0" count="1" selected="0">
            <x v="1"/>
          </reference>
        </references>
      </pivotArea>
    </chartFormat>
  </chartFormats>
  <pivotHierarchies count="4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936EA2-B6C1-4ACC-BD76-FDA26D828DD3}" name="PivotTable1" cacheId="1" applyNumberFormats="0" applyBorderFormats="0" applyFontFormats="0" applyPatternFormats="0" applyAlignmentFormats="0" applyWidthHeightFormats="1" dataCaption="Values" tag="0e857830-fb31-4433-a469-74bd7a6ab50a" updatedVersion="8" minRefreshableVersion="3" subtotalHiddenItems="1" itemPrintTitles="1" createdVersion="8" indent="0" outline="1" outlineData="1" multipleFieldFilters="0">
  <location ref="A11:E26"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2">
    <field x="2"/>
    <field x="3"/>
  </rowFields>
  <rowItems count="15">
    <i>
      <x/>
    </i>
    <i r="1">
      <x/>
    </i>
    <i r="1">
      <x v="1"/>
    </i>
    <i r="1">
      <x v="2"/>
    </i>
    <i r="1">
      <x v="3"/>
    </i>
    <i>
      <x v="1"/>
    </i>
    <i r="1">
      <x/>
    </i>
    <i r="1">
      <x v="1"/>
    </i>
    <i r="1">
      <x v="2"/>
    </i>
    <i r="1">
      <x v="3"/>
    </i>
    <i>
      <x v="2"/>
    </i>
    <i r="1">
      <x/>
    </i>
    <i r="1">
      <x v="1"/>
    </i>
    <i r="1">
      <x v="2"/>
    </i>
    <i t="grand">
      <x/>
    </i>
  </rowItems>
  <colFields count="1">
    <field x="-2"/>
  </colFields>
  <colItems count="4">
    <i>
      <x/>
    </i>
    <i i="1">
      <x v="1"/>
    </i>
    <i i="2">
      <x v="2"/>
    </i>
    <i i="3">
      <x v="3"/>
    </i>
  </colItems>
  <dataFields count="4">
    <dataField name="Revenue" fld="0" subtotal="count" baseField="0" baseItem="0"/>
    <dataField name="Rev LQ" fld="1" subtotal="count" baseField="0" baseItem="0"/>
    <dataField fld="4" subtotal="count" baseField="0" baseItem="0"/>
    <dataField fld="5" subtotal="count" baseField="0" baseItem="0"/>
  </dataFields>
  <pivotHierarchies count="4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caption="Rev LQ"/>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DE8526-06A0-4676-98EA-80F39CCAB5FF}" name="Report ablout Quarter" cacheId="10" applyNumberFormats="0" applyBorderFormats="0" applyFontFormats="0" applyPatternFormats="0" applyAlignmentFormats="0" applyWidthHeightFormats="1" dataCaption="Values" tag="79de59b5-fed7-4a22-9085-418d05b7f257" updatedVersion="8" minRefreshableVersion="3" useAutoFormatting="1" subtotalHiddenItems="1" itemPrintTitles="1" createdVersion="8" indent="0" outline="1" outlineData="1" multipleFieldFilters="0" rowHeaderCaption="Year">
  <location ref="B6:F19" firstHeaderRow="0" firstDataRow="1" firstDataCol="1"/>
  <pivotFields count="7">
    <pivotField dataField="1" subtotalTop="0" showAll="0" defaultSubtotal="0"/>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3"/>
            </reference>
          </references>
        </pivotArea>
      </autoSortScope>
    </pivotField>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4">
        <item x="0" e="0"/>
        <item x="1" e="0"/>
        <item x="2" e="0"/>
        <item x="3"/>
      </items>
    </pivotField>
    <pivotField dataField="1" subtotalTop="0" showAll="0" defaultSubtotal="0"/>
    <pivotField dataField="1" subtotalTop="0" showAll="0" defaultSubtotal="0"/>
  </pivotFields>
  <rowFields count="3">
    <field x="3"/>
    <field x="4"/>
    <field x="2"/>
  </rowFields>
  <rowItems count="13">
    <i>
      <x/>
    </i>
    <i r="1">
      <x/>
    </i>
    <i r="1">
      <x v="1"/>
    </i>
    <i r="1">
      <x v="2"/>
    </i>
    <i r="1">
      <x v="3"/>
    </i>
    <i r="2">
      <x v="6"/>
    </i>
    <i r="2">
      <x v="5"/>
    </i>
    <i r="2">
      <x v="2"/>
    </i>
    <i r="2">
      <x v="4"/>
    </i>
    <i r="2">
      <x v="3"/>
    </i>
    <i r="2">
      <x v="1"/>
    </i>
    <i r="2">
      <x/>
    </i>
    <i t="grand">
      <x/>
    </i>
  </rowItems>
  <colFields count="1">
    <field x="-2"/>
  </colFields>
  <colItems count="4">
    <i>
      <x/>
    </i>
    <i i="1">
      <x v="1"/>
    </i>
    <i i="2">
      <x v="2"/>
    </i>
    <i i="3">
      <x v="3"/>
    </i>
  </colItems>
  <dataFields count="4">
    <dataField fld="0" subtotal="count" baseField="0" baseItem="0"/>
    <dataField fld="1" subtotal="count" baseField="0" baseItem="0"/>
    <dataField fld="5" subtotal="count" baseField="0" baseItem="0"/>
    <dataField fld="6" subtotal="count" baseField="0" baseItem="0"/>
  </dataFields>
  <formats count="2">
    <format dxfId="1">
      <pivotArea dataOnly="0" labelOnly="1" outline="0" fieldPosition="0">
        <references count="1">
          <reference field="4294967294" count="4">
            <x v="0"/>
            <x v="1"/>
            <x v="2"/>
            <x v="3"/>
          </reference>
        </references>
      </pivotArea>
    </format>
    <format dxfId="0">
      <pivotArea dataOnly="0" labelOnly="1" outline="0" fieldPosition="0">
        <references count="1">
          <reference field="4294967294" count="4">
            <x v="0"/>
            <x v="1"/>
            <x v="2"/>
            <x v="3"/>
          </reference>
        </references>
      </pivotArea>
    </format>
  </formats>
  <conditionalFormats count="1">
    <conditionalFormat scope="field" priority="1">
      <pivotAreas count="1">
        <pivotArea outline="0" collapsedLevelsAreSubtotals="1" fieldPosition="0">
          <references count="2">
            <reference field="4294967294" count="1" selected="0">
              <x v="3"/>
            </reference>
            <reference field="2" count="0" selected="0"/>
          </references>
        </pivotArea>
      </pivotAreas>
    </conditionalFormat>
  </conditionalFormats>
  <pivotHierarchies count="45">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3">
    <rowHierarchyUsage hierarchyUsage="3"/>
    <rowHierarchyUsage hierarchyUsage="6"/>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Calendar]"/>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DD9741-8B1F-4A63-A19F-0DC2C2EBEEA3}" name="PivotTable9" cacheId="21" applyNumberFormats="0" applyBorderFormats="0" applyFontFormats="0" applyPatternFormats="0" applyAlignmentFormats="0" applyWidthHeightFormats="1" dataCaption="Values" tag="d2c50ddb-61b0-463d-88e6-bcddbf420a81" updatedVersion="8" minRefreshableVersion="3" useAutoFormatting="1" subtotalHiddenItems="1" itemPrintTitles="1" createdVersion="8" indent="0" outline="1" outlineData="1" multipleFieldFilters="0" chartFormat="16" rowHeaderCaption="Year">
  <location ref="I6:M20" firstHeaderRow="0" firstDataRow="1" firstDataCol="1"/>
  <pivotFields count="7">
    <pivotField axis="axisRow" allDrilled="1" subtotalTop="0" showAll="0" dataSourceSort="1" defaultSubtotal="0" defaultAttributeDrillState="1">
      <items count="3">
        <item x="0" e="0"/>
        <item x="1"/>
        <item x="2" e="0"/>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4">
        <item x="0"/>
        <item x="1"/>
        <item x="2" e="0"/>
        <item x="3" e="0"/>
      </items>
    </pivotField>
    <pivotField dataField="1" subtotalTop="0" showAll="0" defaultSubtotal="0"/>
    <pivotField dataField="1" subtotalTop="0" showAll="0" defaultSubtotal="0"/>
    <pivotField dataField="1" subtotalTop="0" showAll="0" defaultSubtotal="0"/>
  </pivotFields>
  <rowFields count="3">
    <field x="0"/>
    <field x="3"/>
    <field x="1"/>
  </rowFields>
  <rowItems count="14">
    <i>
      <x/>
    </i>
    <i>
      <x v="1"/>
    </i>
    <i r="1">
      <x/>
    </i>
    <i r="2">
      <x/>
    </i>
    <i r="2">
      <x v="1"/>
    </i>
    <i r="2">
      <x v="2"/>
    </i>
    <i r="1">
      <x v="1"/>
    </i>
    <i r="2">
      <x v="3"/>
    </i>
    <i r="2">
      <x v="4"/>
    </i>
    <i r="2">
      <x v="5"/>
    </i>
    <i r="1">
      <x v="2"/>
    </i>
    <i r="1">
      <x v="3"/>
    </i>
    <i>
      <x v="2"/>
    </i>
    <i t="grand">
      <x/>
    </i>
  </rowItems>
  <colFields count="1">
    <field x="-2"/>
  </colFields>
  <colItems count="4">
    <i>
      <x/>
    </i>
    <i i="1">
      <x v="1"/>
    </i>
    <i i="2">
      <x v="2"/>
    </i>
    <i i="3">
      <x v="3"/>
    </i>
  </colItems>
  <dataFields count="4">
    <dataField fld="2" subtotal="count" baseField="0" baseItem="0"/>
    <dataField fld="4" subtotal="count" baseField="0" baseItem="0"/>
    <dataField fld="5" subtotal="count" baseField="0" baseItem="0"/>
    <dataField fld="6" subtotal="count" baseField="0" baseItem="0"/>
  </dataFields>
  <formats count="2">
    <format dxfId="3">
      <pivotArea dataOnly="0" labelOnly="1" outline="0" fieldPosition="0">
        <references count="1">
          <reference field="4294967294" count="1">
            <x v="0"/>
          </reference>
        </references>
      </pivotArea>
    </format>
    <format dxfId="2">
      <pivotArea dataOnly="0" labelOnly="1" outline="0" fieldPosition="0">
        <references count="1">
          <reference field="4294967294" count="1">
            <x v="0"/>
          </reference>
        </references>
      </pivotArea>
    </format>
  </formats>
  <conditionalFormats count="1">
    <conditionalFormat scope="field" priority="2">
      <pivotAreas count="1">
        <pivotArea outline="0" collapsedLevelsAreSubtotals="1" fieldPosition="0">
          <references count="2">
            <reference field="4294967294" count="1" selected="0">
              <x v="3"/>
            </reference>
            <reference field="1" count="0" selected="0"/>
          </references>
        </pivotArea>
      </pivotAreas>
    </conditionalFormat>
  </conditionalFormats>
  <chartFormats count="2">
    <chartFormat chart="12" format="6" series="1">
      <pivotArea type="data" outline="0" fieldPosition="0">
        <references count="1">
          <reference field="4294967294" count="1" selected="0">
            <x v="0"/>
          </reference>
        </references>
      </pivotArea>
    </chartFormat>
    <chartFormat chart="12" format="7">
      <pivotArea type="data" outline="0" fieldPosition="0">
        <references count="3">
          <reference field="4294967294" count="1" selected="0">
            <x v="0"/>
          </reference>
          <reference field="0" count="1" selected="0">
            <x v="1"/>
          </reference>
          <reference field="1" count="1" selected="0">
            <x v="6"/>
          </reference>
        </references>
      </pivotArea>
    </chartFormat>
  </chartFormats>
  <pivotHierarchies count="4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8" showRowHeaders="1" showColHeaders="1" showRowStripes="0" showColStripes="0" showLastColumn="1"/>
  <rowHierarchiesUsage count="3">
    <rowHierarchyUsage hierarchyUsage="3"/>
    <rowHierarchyUsage hierarchyUsage="6"/>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EEBC975-7BB5-4EEF-B1C9-44DE239340AB}" sourceName="[Calendar].[Year]">
  <pivotTables>
    <pivotTable tabId="1" name="Rev By Country"/>
    <pivotTable tabId="1" name="Top 10 Customer"/>
    <pivotTable tabId="1" name="PivotTable9"/>
  </pivotTables>
  <data>
    <olap pivotCacheId="1471261928">
      <levels count="2">
        <level uniqueName="[Calendar].[Year].[(All)]" sourceCaption="(All)" count="0"/>
        <level uniqueName="[Calendar].[Year].[Year]" sourceCaption="Year" count="3">
          <ranges>
            <range startItem="0">
              <i n="[Calendar].[Year].&amp;[2003]" c="2003"/>
              <i n="[Calendar].[Year].&amp;[2004]" c="2004"/>
              <i n="[Calendar].[Year].&amp;[2005]" c="2005"/>
            </range>
          </ranges>
        </level>
      </levels>
      <selections count="1">
        <selection n="[Calend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59FDD0D-3825-4F26-AAE1-D9AEE8EBD951}" sourceName="[Sales Data].[Country]">
  <pivotTables>
    <pivotTable tabId="1" name="Rev Over Time"/>
    <pivotTable tabId="1" name="Qty By Status"/>
    <pivotTable tabId="1" name="Rev By Country"/>
    <pivotTable tabId="1" name="Top 10 Customer"/>
    <pivotTable tabId="1" name="PivotTable6"/>
    <pivotTable tabId="1" name="PivotTable7"/>
    <pivotTable tabId="3" name="PivotTable9"/>
  </pivotTables>
  <data>
    <olap pivotCacheId="1471261928">
      <levels count="2">
        <level uniqueName="[Sales Data].[Country].[(All)]" sourceCaption="(All)" count="0"/>
        <level uniqueName="[Sales Data].[Country].[Country]" sourceCaption="Country" count="19">
          <ranges>
            <range startItem="0">
              <i n="[Sales Data].[Country].&amp;[Australia]" c="Australia"/>
              <i n="[Sales Data].[Country].&amp;[Austria]" c="Austria"/>
              <i n="[Sales Data].[Country].&amp;[Belgium]" c="Belgium"/>
              <i n="[Sales Data].[Country].&amp;[Canada]" c="Canada"/>
              <i n="[Sales Data].[Country].&amp;[Denmark]" c="Denmark"/>
              <i n="[Sales Data].[Country].&amp;[Finland]" c="Finland"/>
              <i n="[Sales Data].[Country].&amp;[France]" c="France"/>
              <i n="[Sales Data].[Country].&amp;[Germany]" c="Germany"/>
              <i n="[Sales Data].[Country].&amp;[Ireland]" c="Ireland"/>
              <i n="[Sales Data].[Country].&amp;[Italy]" c="Italy"/>
              <i n="[Sales Data].[Country].&amp;[Japan]" c="Japan"/>
              <i n="[Sales Data].[Country].&amp;[Norway]" c="Norway"/>
              <i n="[Sales Data].[Country].&amp;[Philippines]" c="Philippines"/>
              <i n="[Sales Data].[Country].&amp;[Singapore]" c="Singapore"/>
              <i n="[Sales Data].[Country].&amp;[Spain]" c="Spain"/>
              <i n="[Sales Data].[Country].&amp;[Sweden]" c="Sweden"/>
              <i n="[Sales Data].[Country].&amp;[Switzerland]" c="Switzerland"/>
              <i n="[Sales Data].[Country].&amp;[UK]" c="UK"/>
              <i n="[Sales Data].[Country].&amp;[USA]" c="USA"/>
            </range>
          </ranges>
        </level>
      </levels>
      <selections count="1">
        <selection n="[Sales Data].[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660C914-E220-4254-9BCC-D0B1DD2B21DA}" sourceName="[Calendar].[Year]">
  <pivotTables>
    <pivotTable tabId="3" name="Report ablout Quarter"/>
  </pivotTables>
  <data>
    <olap pivotCacheId="146994718">
      <levels count="2">
        <level uniqueName="[Calendar].[Year].[(All)]" sourceCaption="(All)" count="0"/>
        <level uniqueName="[Calendar].[Year].[Year]" sourceCaption="Year" count="3">
          <ranges>
            <range startItem="0">
              <i n="[Calendar].[Year].&amp;[2003]" c="2003"/>
              <i n="[Calendar].[Year].&amp;[2004]" c="2004"/>
              <i n="[Calendar].[Year].&amp;[2005]" c="2005"/>
            </range>
          </ranges>
        </level>
      </levels>
      <selections count="1">
        <selection n="[Calendar].[Year].&amp;[20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877454C-A95A-4E75-AE13-491ECFB6F36F}" cache="Slicer_Year1" caption="Year" level="1" style="SlicerStyleLight3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7631764-312C-41A0-B574-F09804997FFE}" cache="Slicer_Year" caption="Year" level="1" style="SlicerStyleLight3 2" rowHeight="247650"/>
  <slicer name="Country" xr10:uid="{60A2E993-32A5-4927-B0C2-4B9A191A9DFA}" cache="Slicer_Country" caption="Country" level="1" style="SlicerStyleLight3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262DE-3D33-4930-A0C3-5581E9FE3A67}">
  <dimension ref="A1:P114"/>
  <sheetViews>
    <sheetView zoomScale="115" zoomScaleNormal="115" workbookViewId="0">
      <selection activeCell="H50" sqref="H50"/>
    </sheetView>
  </sheetViews>
  <sheetFormatPr defaultRowHeight="14.4" x14ac:dyDescent="0.3"/>
  <cols>
    <col min="1" max="1" width="12.77734375" bestFit="1" customWidth="1"/>
    <col min="2" max="2" width="8" bestFit="1" customWidth="1"/>
    <col min="3" max="3" width="9.109375" bestFit="1" customWidth="1"/>
    <col min="4" max="4" width="15.6640625" bestFit="1" customWidth="1"/>
    <col min="5" max="5" width="12.6640625" bestFit="1" customWidth="1"/>
    <col min="6" max="6" width="11.77734375" bestFit="1" customWidth="1"/>
    <col min="7" max="7" width="12.44140625" bestFit="1" customWidth="1"/>
    <col min="8" max="8" width="11" bestFit="1" customWidth="1"/>
    <col min="9" max="9" width="19.77734375" bestFit="1" customWidth="1"/>
    <col min="10" max="10" width="12.77734375" bestFit="1" customWidth="1"/>
    <col min="11" max="11" width="10.5546875" bestFit="1" customWidth="1"/>
    <col min="12" max="12" width="11.6640625" bestFit="1" customWidth="1"/>
    <col min="13" max="13" width="6.5546875" bestFit="1" customWidth="1"/>
    <col min="14" max="15" width="10.5546875" bestFit="1" customWidth="1"/>
    <col min="16" max="16" width="12.77734375" bestFit="1" customWidth="1"/>
    <col min="17" max="17" width="9.21875" bestFit="1" customWidth="1"/>
    <col min="18" max="18" width="15.88671875" bestFit="1" customWidth="1"/>
  </cols>
  <sheetData>
    <row r="1" spans="1:16" x14ac:dyDescent="0.3">
      <c r="A1" t="str">
        <f ca="1">IF(HOUR(NOW()) &lt; 12, "Good Morning",
   IF(HOUR(NOW()) &lt; 17, "Good Afternoon",
      "Good Evening"))</f>
        <v>Good Evening</v>
      </c>
    </row>
    <row r="4" spans="1:16" x14ac:dyDescent="0.3">
      <c r="A4" t="s">
        <v>71</v>
      </c>
    </row>
    <row r="6" spans="1:16" x14ac:dyDescent="0.3">
      <c r="A6" t="s">
        <v>0</v>
      </c>
      <c r="B6" t="s">
        <v>69</v>
      </c>
      <c r="C6" t="s">
        <v>72</v>
      </c>
      <c r="D6" t="s">
        <v>73</v>
      </c>
    </row>
    <row r="7" spans="1:16" x14ac:dyDescent="0.3">
      <c r="A7" s="1">
        <v>8290886.7899999991</v>
      </c>
      <c r="B7" s="14">
        <v>99067</v>
      </c>
      <c r="C7">
        <v>307</v>
      </c>
      <c r="D7" s="12">
        <v>322.69381107491859</v>
      </c>
    </row>
    <row r="8" spans="1:16" x14ac:dyDescent="0.3">
      <c r="A8" s="11">
        <f>GETPIVOTDATA("[Measures].[Total Revenue]",$A$6)</f>
        <v>8290886.7899999991</v>
      </c>
      <c r="B8" s="14">
        <f>GETPIVOTDATA("[Measures].[Qty Sold]",$A$6)</f>
        <v>99067</v>
      </c>
      <c r="C8">
        <f>GETPIVOTDATA("[Measures].[# of Order]",$A$6)</f>
        <v>307</v>
      </c>
      <c r="D8" s="12">
        <f>GETPIVOTDATA("[Measures].[Avg Qty Per Order]",$A$6)</f>
        <v>322.69381107491859</v>
      </c>
    </row>
    <row r="11" spans="1:16" x14ac:dyDescent="0.3">
      <c r="A11" s="3" t="s">
        <v>1</v>
      </c>
      <c r="B11" t="s">
        <v>27</v>
      </c>
      <c r="C11" t="s">
        <v>26</v>
      </c>
      <c r="D11" t="s">
        <v>28</v>
      </c>
      <c r="E11" t="s">
        <v>29</v>
      </c>
      <c r="I11" s="3" t="s">
        <v>70</v>
      </c>
      <c r="J11" s="13" t="s">
        <v>0</v>
      </c>
      <c r="K11" s="13" t="s">
        <v>26</v>
      </c>
      <c r="L11" s="13" t="s">
        <v>28</v>
      </c>
      <c r="M11" s="13" t="s">
        <v>29</v>
      </c>
      <c r="O11" s="3" t="s">
        <v>70</v>
      </c>
      <c r="P11" t="s">
        <v>0</v>
      </c>
    </row>
    <row r="12" spans="1:16" x14ac:dyDescent="0.3">
      <c r="A12" s="4">
        <v>2003</v>
      </c>
      <c r="I12" s="4">
        <v>2003</v>
      </c>
      <c r="O12" s="4">
        <v>2003</v>
      </c>
    </row>
    <row r="13" spans="1:16" x14ac:dyDescent="0.3">
      <c r="A13" s="5" t="s">
        <v>15</v>
      </c>
      <c r="B13" s="1">
        <v>372018.98999999993</v>
      </c>
      <c r="C13" s="1"/>
      <c r="D13" s="1">
        <v>372018.98999999993</v>
      </c>
      <c r="E13" s="7"/>
      <c r="I13" s="5" t="s">
        <v>15</v>
      </c>
      <c r="O13" s="5" t="s">
        <v>7</v>
      </c>
      <c r="P13" s="1">
        <v>107885.96</v>
      </c>
    </row>
    <row r="14" spans="1:16" x14ac:dyDescent="0.3">
      <c r="A14" s="5" t="s">
        <v>16</v>
      </c>
      <c r="B14" s="1">
        <v>472627.99</v>
      </c>
      <c r="C14" s="1">
        <v>372018.99000000005</v>
      </c>
      <c r="D14" s="1">
        <v>100608.99999999994</v>
      </c>
      <c r="E14" s="7">
        <v>0.27044049552416649</v>
      </c>
      <c r="I14" s="6" t="s">
        <v>19</v>
      </c>
      <c r="J14" s="1">
        <v>123144.4</v>
      </c>
      <c r="K14" s="1"/>
      <c r="L14" s="1">
        <v>123144.4</v>
      </c>
      <c r="M14" s="7"/>
      <c r="O14" s="5" t="s">
        <v>6</v>
      </c>
      <c r="P14" s="1">
        <v>120036.8</v>
      </c>
    </row>
    <row r="15" spans="1:16" x14ac:dyDescent="0.3">
      <c r="A15" s="5" t="s">
        <v>17</v>
      </c>
      <c r="B15" s="1">
        <v>526941.91</v>
      </c>
      <c r="C15" s="1">
        <v>472627.99</v>
      </c>
      <c r="D15" s="1">
        <v>54313.920000000042</v>
      </c>
      <c r="E15" s="7">
        <v>0.11491896618310744</v>
      </c>
      <c r="I15" s="6" t="s">
        <v>20</v>
      </c>
      <c r="J15" s="1">
        <v>33205.230000000003</v>
      </c>
      <c r="K15" s="1"/>
      <c r="L15" s="1">
        <v>33205.230000000003</v>
      </c>
      <c r="M15" s="7"/>
      <c r="O15" s="5" t="s">
        <v>10</v>
      </c>
      <c r="P15" s="1">
        <v>144096.22999999995</v>
      </c>
    </row>
    <row r="16" spans="1:16" x14ac:dyDescent="0.3">
      <c r="A16" s="5" t="s">
        <v>18</v>
      </c>
      <c r="B16" s="1">
        <v>1526561.0499999991</v>
      </c>
      <c r="C16" s="1">
        <v>526941.91</v>
      </c>
      <c r="D16" s="1">
        <v>999619.13999999908</v>
      </c>
      <c r="E16" s="7">
        <v>1.8970196164506996</v>
      </c>
      <c r="I16" s="6" t="s">
        <v>21</v>
      </c>
      <c r="J16" s="1">
        <v>36162.920000000006</v>
      </c>
      <c r="K16" s="1"/>
      <c r="L16" s="1">
        <v>36162.920000000006</v>
      </c>
      <c r="M16" s="7"/>
      <c r="O16" s="5" t="s">
        <v>3</v>
      </c>
      <c r="P16" s="1">
        <v>169421.03000000009</v>
      </c>
    </row>
    <row r="17" spans="1:16" x14ac:dyDescent="0.3">
      <c r="A17" s="4">
        <v>2004</v>
      </c>
      <c r="I17" s="6" t="s">
        <v>22</v>
      </c>
      <c r="J17" s="1">
        <v>24475.69</v>
      </c>
      <c r="K17" s="1"/>
      <c r="L17" s="1">
        <v>24475.69</v>
      </c>
      <c r="M17" s="7"/>
      <c r="O17" s="5" t="s">
        <v>11</v>
      </c>
      <c r="P17" s="1">
        <v>163654.11999999994</v>
      </c>
    </row>
    <row r="18" spans="1:16" x14ac:dyDescent="0.3">
      <c r="A18" s="5" t="s">
        <v>15</v>
      </c>
      <c r="B18" s="1">
        <v>693363.48000000033</v>
      </c>
      <c r="C18" s="1">
        <v>1526561.0499999993</v>
      </c>
      <c r="D18" s="1">
        <v>-833197.56999999902</v>
      </c>
      <c r="E18" s="7">
        <v>-0.54580035957291018</v>
      </c>
      <c r="I18" s="6" t="s">
        <v>23</v>
      </c>
      <c r="J18" s="1">
        <v>8733.5499999999993</v>
      </c>
      <c r="K18" s="1"/>
      <c r="L18" s="1">
        <v>8733.5499999999993</v>
      </c>
      <c r="M18" s="7"/>
      <c r="O18" s="5" t="s">
        <v>9</v>
      </c>
      <c r="P18" s="1">
        <v>139552.84000000003</v>
      </c>
    </row>
    <row r="19" spans="1:16" x14ac:dyDescent="0.3">
      <c r="A19" s="5" t="s">
        <v>16</v>
      </c>
      <c r="B19" s="1">
        <v>638941.69000000006</v>
      </c>
      <c r="C19" s="1">
        <v>693363.48</v>
      </c>
      <c r="D19" s="1">
        <v>-54421.789999999921</v>
      </c>
      <c r="E19" s="7">
        <v>-7.8489553559988365E-2</v>
      </c>
      <c r="I19" s="6" t="s">
        <v>24</v>
      </c>
      <c r="J19" s="1">
        <v>41635.99</v>
      </c>
      <c r="K19" s="1"/>
      <c r="L19" s="1">
        <v>41635.99</v>
      </c>
      <c r="M19" s="7"/>
      <c r="O19" s="5" t="s">
        <v>8</v>
      </c>
      <c r="P19" s="1">
        <v>149869.72999999998</v>
      </c>
    </row>
    <row r="20" spans="1:16" x14ac:dyDescent="0.3">
      <c r="A20" s="5" t="s">
        <v>17</v>
      </c>
      <c r="B20" s="1">
        <v>921064.4600000002</v>
      </c>
      <c r="C20" s="1">
        <v>638941.68999999994</v>
      </c>
      <c r="D20" s="1">
        <v>282122.77000000025</v>
      </c>
      <c r="E20" s="7">
        <v>0.44154697434127405</v>
      </c>
      <c r="I20" s="6" t="s">
        <v>25</v>
      </c>
      <c r="J20" s="1">
        <v>104661.21000000002</v>
      </c>
      <c r="K20" s="1"/>
      <c r="L20" s="1">
        <v>104661.21000000002</v>
      </c>
      <c r="M20" s="7"/>
      <c r="O20" s="5" t="s">
        <v>4</v>
      </c>
      <c r="P20" s="1">
        <v>166026.32</v>
      </c>
    </row>
    <row r="21" spans="1:16" x14ac:dyDescent="0.3">
      <c r="A21" s="5" t="s">
        <v>18</v>
      </c>
      <c r="B21" s="1">
        <v>1660331.2399999993</v>
      </c>
      <c r="C21" s="1">
        <v>921064.46</v>
      </c>
      <c r="D21" s="1">
        <v>739266.77999999933</v>
      </c>
      <c r="E21" s="7">
        <v>0.80262219649643129</v>
      </c>
      <c r="I21" s="5" t="s">
        <v>16</v>
      </c>
      <c r="J21" s="1">
        <v>472627.99</v>
      </c>
      <c r="K21" s="1">
        <v>372018.99000000005</v>
      </c>
      <c r="L21" s="1">
        <v>100608.99999999994</v>
      </c>
      <c r="M21" s="7">
        <v>0.27044049552416649</v>
      </c>
      <c r="O21" s="5" t="s">
        <v>14</v>
      </c>
      <c r="P21" s="1">
        <v>211045.86000000002</v>
      </c>
    </row>
    <row r="22" spans="1:16" x14ac:dyDescent="0.3">
      <c r="A22" s="4">
        <v>2005</v>
      </c>
      <c r="I22" s="5" t="s">
        <v>17</v>
      </c>
      <c r="J22" s="1">
        <v>526941.91</v>
      </c>
      <c r="K22" s="1">
        <v>472627.99</v>
      </c>
      <c r="L22" s="1">
        <v>54313.920000000042</v>
      </c>
      <c r="M22" s="7">
        <v>0.11491896618310744</v>
      </c>
      <c r="O22" s="5" t="s">
        <v>13</v>
      </c>
      <c r="P22" s="1">
        <v>466240.57</v>
      </c>
    </row>
    <row r="23" spans="1:16" x14ac:dyDescent="0.3">
      <c r="A23" s="5" t="s">
        <v>15</v>
      </c>
      <c r="B23" s="1">
        <v>888714.7000000003</v>
      </c>
      <c r="C23" s="1">
        <v>1660331.24</v>
      </c>
      <c r="D23" s="1">
        <v>-771616.53999999969</v>
      </c>
      <c r="E23" s="7">
        <v>-0.46473650643349917</v>
      </c>
      <c r="I23" s="5" t="s">
        <v>18</v>
      </c>
      <c r="J23" s="1">
        <v>1526561.0499999991</v>
      </c>
      <c r="K23" s="1">
        <v>526941.91</v>
      </c>
      <c r="L23" s="1">
        <v>999619.13999999908</v>
      </c>
      <c r="M23" s="7">
        <v>1.8970196164506996</v>
      </c>
      <c r="O23" s="5" t="s">
        <v>12</v>
      </c>
      <c r="P23" s="1">
        <v>850203.27000000025</v>
      </c>
    </row>
    <row r="24" spans="1:16" x14ac:dyDescent="0.3">
      <c r="A24" s="5" t="s">
        <v>16</v>
      </c>
      <c r="B24" s="1">
        <v>590321.28000000026</v>
      </c>
      <c r="C24" s="1">
        <v>888714.6999999996</v>
      </c>
      <c r="D24" s="1">
        <v>-298393.41999999934</v>
      </c>
      <c r="E24" s="7">
        <v>-0.33575839355419629</v>
      </c>
      <c r="I24" s="4">
        <v>2004</v>
      </c>
      <c r="O24" s="5" t="s">
        <v>5</v>
      </c>
      <c r="P24" s="1">
        <v>210117.21</v>
      </c>
    </row>
    <row r="25" spans="1:16" x14ac:dyDescent="0.3">
      <c r="A25" s="5" t="s">
        <v>17</v>
      </c>
      <c r="B25" s="1"/>
      <c r="C25" s="1">
        <v>590321.28</v>
      </c>
      <c r="D25" s="1">
        <v>-590321.28</v>
      </c>
      <c r="E25" s="7">
        <v>-1</v>
      </c>
      <c r="I25" s="5" t="s">
        <v>15</v>
      </c>
      <c r="O25" s="4">
        <v>2004</v>
      </c>
    </row>
    <row r="26" spans="1:16" x14ac:dyDescent="0.3">
      <c r="A26" s="4" t="s">
        <v>2</v>
      </c>
      <c r="B26" s="1">
        <v>8290886.7899999991</v>
      </c>
      <c r="C26" s="1">
        <v>8290886.7899999991</v>
      </c>
      <c r="D26" s="1">
        <v>0</v>
      </c>
      <c r="E26" s="7">
        <v>0</v>
      </c>
      <c r="I26" s="6" t="s">
        <v>19</v>
      </c>
      <c r="J26" s="1">
        <v>251630.18999999997</v>
      </c>
      <c r="K26" s="1">
        <v>625282.76</v>
      </c>
      <c r="L26" s="1">
        <v>-373652.57000000007</v>
      </c>
      <c r="M26" s="7">
        <v>-0.59757376006976437</v>
      </c>
      <c r="O26" s="5" t="s">
        <v>7</v>
      </c>
      <c r="P26" s="1">
        <v>268015.86999999982</v>
      </c>
    </row>
    <row r="27" spans="1:16" x14ac:dyDescent="0.3">
      <c r="I27" s="6" t="s">
        <v>20</v>
      </c>
      <c r="J27" s="1">
        <v>76352.070000000007</v>
      </c>
      <c r="K27" s="1">
        <v>164667.29</v>
      </c>
      <c r="L27" s="1">
        <v>-88315.22</v>
      </c>
      <c r="M27" s="7">
        <v>-0.53632521674462486</v>
      </c>
      <c r="O27" s="5" t="s">
        <v>6</v>
      </c>
      <c r="P27" s="1">
        <v>258389.05000000002</v>
      </c>
    </row>
    <row r="28" spans="1:16" x14ac:dyDescent="0.3">
      <c r="I28" s="6" t="s">
        <v>21</v>
      </c>
      <c r="J28" s="1">
        <v>67553.61</v>
      </c>
      <c r="K28" s="1">
        <v>112928.45</v>
      </c>
      <c r="L28" s="1">
        <v>-45374.84</v>
      </c>
      <c r="M28" s="7">
        <v>-0.40180167176650344</v>
      </c>
      <c r="O28" s="5" t="s">
        <v>10</v>
      </c>
      <c r="P28" s="1">
        <v>166958.55999999997</v>
      </c>
    </row>
    <row r="29" spans="1:16" x14ac:dyDescent="0.3">
      <c r="I29" s="6" t="s">
        <v>22</v>
      </c>
      <c r="J29" s="1">
        <v>76697.06</v>
      </c>
      <c r="K29" s="1">
        <v>111866.78</v>
      </c>
      <c r="L29" s="1">
        <v>-35169.72</v>
      </c>
      <c r="M29" s="7">
        <v>-0.314389312001293</v>
      </c>
      <c r="O29" s="5" t="s">
        <v>3</v>
      </c>
      <c r="P29" s="1">
        <v>172935.80000000002</v>
      </c>
    </row>
    <row r="30" spans="1:16" x14ac:dyDescent="0.3">
      <c r="I30" s="6" t="s">
        <v>23</v>
      </c>
      <c r="J30" s="1">
        <v>21378.13</v>
      </c>
      <c r="K30" s="1">
        <v>34721.880000000005</v>
      </c>
      <c r="L30" s="1">
        <v>-13343.750000000004</v>
      </c>
      <c r="M30" s="7">
        <v>-0.38430378769813162</v>
      </c>
      <c r="O30" s="5" t="s">
        <v>11</v>
      </c>
      <c r="P30" s="1">
        <v>220815.13999999996</v>
      </c>
    </row>
    <row r="31" spans="1:16" x14ac:dyDescent="0.3">
      <c r="A31" s="3" t="s">
        <v>1</v>
      </c>
      <c r="B31" t="s">
        <v>27</v>
      </c>
      <c r="C31" t="s">
        <v>49</v>
      </c>
      <c r="I31" s="6" t="s">
        <v>24</v>
      </c>
      <c r="J31" s="1">
        <v>64403.03</v>
      </c>
      <c r="K31" s="1">
        <v>185500.53999999998</v>
      </c>
      <c r="L31" s="1">
        <v>-121097.50999999998</v>
      </c>
      <c r="M31" s="7">
        <v>-0.65281486512114728</v>
      </c>
      <c r="O31" s="5" t="s">
        <v>9</v>
      </c>
      <c r="P31" s="1">
        <v>245190.75</v>
      </c>
    </row>
    <row r="32" spans="1:16" x14ac:dyDescent="0.3">
      <c r="A32" s="4" t="s">
        <v>38</v>
      </c>
      <c r="B32" s="1">
        <v>43237.24</v>
      </c>
      <c r="C32" s="1"/>
      <c r="I32" s="6" t="s">
        <v>25</v>
      </c>
      <c r="J32" s="1">
        <v>135349.39000000001</v>
      </c>
      <c r="K32" s="1">
        <v>291593.34999999998</v>
      </c>
      <c r="L32" s="1">
        <v>-156243.95999999996</v>
      </c>
      <c r="M32" s="7">
        <v>-0.53582826906031966</v>
      </c>
      <c r="O32" s="5" t="s">
        <v>8</v>
      </c>
      <c r="P32" s="1">
        <v>271103.61000000004</v>
      </c>
    </row>
    <row r="33" spans="1:16" x14ac:dyDescent="0.3">
      <c r="A33" s="4" t="s">
        <v>42</v>
      </c>
      <c r="B33" s="1">
        <v>80291.17</v>
      </c>
      <c r="C33" s="1"/>
      <c r="I33" s="5" t="s">
        <v>16</v>
      </c>
      <c r="J33" s="1">
        <v>638941.69000000006</v>
      </c>
      <c r="K33" s="1">
        <v>693363.48</v>
      </c>
      <c r="L33" s="1">
        <v>-54421.789999999921</v>
      </c>
      <c r="M33" s="7">
        <v>-7.8489553559988365E-2</v>
      </c>
      <c r="O33" s="5" t="s">
        <v>4</v>
      </c>
      <c r="P33" s="1">
        <v>386106.58999999997</v>
      </c>
    </row>
    <row r="34" spans="1:16" x14ac:dyDescent="0.3">
      <c r="A34" s="4" t="s">
        <v>46</v>
      </c>
      <c r="B34" s="1">
        <v>93344.91</v>
      </c>
      <c r="C34" s="1"/>
      <c r="I34" s="5" t="s">
        <v>17</v>
      </c>
      <c r="J34" s="1">
        <v>921064.4600000002</v>
      </c>
      <c r="K34" s="1">
        <v>638941.68999999994</v>
      </c>
      <c r="L34" s="1">
        <v>282122.77000000025</v>
      </c>
      <c r="M34" s="7">
        <v>0.44154697434127405</v>
      </c>
      <c r="O34" s="5" t="s">
        <v>14</v>
      </c>
      <c r="P34" s="1">
        <v>263854.26000000007</v>
      </c>
    </row>
    <row r="35" spans="1:16" x14ac:dyDescent="0.3">
      <c r="A35" s="4" t="s">
        <v>32</v>
      </c>
      <c r="B35" s="1">
        <v>94528.88</v>
      </c>
      <c r="C35" s="1"/>
      <c r="I35" s="5" t="s">
        <v>18</v>
      </c>
      <c r="J35" s="1">
        <v>1660331.2399999993</v>
      </c>
      <c r="K35" s="1">
        <v>921064.46</v>
      </c>
      <c r="L35" s="1">
        <v>739266.77999999933</v>
      </c>
      <c r="M35" s="7">
        <v>0.80262219649643129</v>
      </c>
      <c r="O35" s="5" t="s">
        <v>13</v>
      </c>
      <c r="P35" s="1">
        <v>452796.13000000006</v>
      </c>
    </row>
    <row r="36" spans="1:16" x14ac:dyDescent="0.3">
      <c r="A36" s="4" t="s">
        <v>40</v>
      </c>
      <c r="B36" s="1">
        <v>153076.69</v>
      </c>
      <c r="C36" s="1"/>
      <c r="I36" s="4">
        <v>2005</v>
      </c>
      <c r="J36" s="1">
        <v>1479035.9800000011</v>
      </c>
      <c r="K36" s="1">
        <v>3139367.2199999988</v>
      </c>
      <c r="L36" s="1">
        <v>-1660331.2399999977</v>
      </c>
      <c r="M36" s="7">
        <v>-0.52887449082812243</v>
      </c>
      <c r="O36" s="5" t="s">
        <v>12</v>
      </c>
      <c r="P36" s="1">
        <v>894479.1800000004</v>
      </c>
    </row>
    <row r="37" spans="1:16" x14ac:dyDescent="0.3">
      <c r="A37" s="4" t="s">
        <v>31</v>
      </c>
      <c r="B37" s="1">
        <v>172793.04999999996</v>
      </c>
      <c r="C37" s="1"/>
      <c r="I37" s="4" t="s">
        <v>2</v>
      </c>
      <c r="J37" s="1">
        <v>8290886.7899999991</v>
      </c>
      <c r="K37" s="1">
        <v>8290886.7899999991</v>
      </c>
      <c r="L37" s="1">
        <v>0</v>
      </c>
      <c r="M37" s="7">
        <v>0</v>
      </c>
      <c r="O37" s="5" t="s">
        <v>5</v>
      </c>
      <c r="P37" s="1">
        <v>313055.93000000011</v>
      </c>
    </row>
    <row r="38" spans="1:16" x14ac:dyDescent="0.3">
      <c r="A38" s="4" t="s">
        <v>45</v>
      </c>
      <c r="B38" s="1">
        <v>174264.1</v>
      </c>
      <c r="C38" s="1"/>
      <c r="O38" s="4">
        <v>2005</v>
      </c>
    </row>
    <row r="39" spans="1:16" x14ac:dyDescent="0.3">
      <c r="A39" s="4" t="s">
        <v>37</v>
      </c>
      <c r="B39" s="1">
        <v>178689.08</v>
      </c>
      <c r="C39" s="1"/>
      <c r="O39" s="5" t="s">
        <v>7</v>
      </c>
      <c r="P39" s="1">
        <v>283680.46000000008</v>
      </c>
    </row>
    <row r="40" spans="1:16" x14ac:dyDescent="0.3">
      <c r="A40" s="4" t="s">
        <v>34</v>
      </c>
      <c r="B40" s="1">
        <v>192747.63000000003</v>
      </c>
      <c r="C40" s="1"/>
      <c r="O40" s="5" t="s">
        <v>6</v>
      </c>
      <c r="P40" s="1">
        <v>289902.30000000005</v>
      </c>
    </row>
    <row r="41" spans="1:16" x14ac:dyDescent="0.3">
      <c r="A41" s="4" t="s">
        <v>33</v>
      </c>
      <c r="B41" s="1">
        <v>193504.33999999997</v>
      </c>
      <c r="C41" s="1"/>
      <c r="O41" s="5" t="s">
        <v>10</v>
      </c>
      <c r="P41" s="1">
        <v>315131.94</v>
      </c>
    </row>
    <row r="42" spans="1:16" x14ac:dyDescent="0.3">
      <c r="A42" s="4" t="s">
        <v>43</v>
      </c>
      <c r="B42" s="1">
        <v>227985.50000000003</v>
      </c>
      <c r="C42" s="1">
        <v>227985.50000000003</v>
      </c>
      <c r="O42" s="5" t="s">
        <v>3</v>
      </c>
      <c r="P42" s="1">
        <v>217977.63000000006</v>
      </c>
    </row>
    <row r="43" spans="1:16" x14ac:dyDescent="0.3">
      <c r="A43" s="4" t="s">
        <v>41</v>
      </c>
      <c r="B43" s="1">
        <v>246115.8000000001</v>
      </c>
      <c r="C43" s="1">
        <v>246115.8000000001</v>
      </c>
      <c r="O43" s="5" t="s">
        <v>11</v>
      </c>
      <c r="P43" s="1">
        <v>372343.64999999985</v>
      </c>
    </row>
    <row r="44" spans="1:16" x14ac:dyDescent="0.3">
      <c r="A44" s="4" t="s">
        <v>35</v>
      </c>
      <c r="B44" s="1">
        <v>268714.70000000007</v>
      </c>
      <c r="C44" s="1">
        <v>268714.70000000007</v>
      </c>
      <c r="O44" s="4" t="s">
        <v>2</v>
      </c>
      <c r="P44" s="1">
        <v>8290886.7899999991</v>
      </c>
    </row>
    <row r="45" spans="1:16" x14ac:dyDescent="0.3">
      <c r="A45" s="4" t="s">
        <v>39</v>
      </c>
      <c r="B45" s="1">
        <v>309402.87000000005</v>
      </c>
      <c r="C45" s="1">
        <v>309402.86999999982</v>
      </c>
    </row>
    <row r="46" spans="1:16" x14ac:dyDescent="0.3">
      <c r="A46" s="4" t="s">
        <v>47</v>
      </c>
      <c r="B46" s="1">
        <v>413203.34</v>
      </c>
      <c r="C46" s="1">
        <v>413203.34</v>
      </c>
    </row>
    <row r="47" spans="1:16" x14ac:dyDescent="0.3">
      <c r="A47" s="4" t="s">
        <v>30</v>
      </c>
      <c r="B47" s="1">
        <v>521598.46</v>
      </c>
      <c r="C47" s="1">
        <v>521598.46</v>
      </c>
    </row>
    <row r="48" spans="1:16" x14ac:dyDescent="0.3">
      <c r="A48" s="4" t="s">
        <v>36</v>
      </c>
      <c r="B48" s="1">
        <v>919257.85</v>
      </c>
      <c r="C48" s="1">
        <v>919257.85</v>
      </c>
    </row>
    <row r="49" spans="1:4" x14ac:dyDescent="0.3">
      <c r="A49" s="4" t="s">
        <v>44</v>
      </c>
      <c r="B49" s="1">
        <v>1021705.9700000002</v>
      </c>
      <c r="C49" s="1">
        <v>1021705.9700000002</v>
      </c>
    </row>
    <row r="50" spans="1:4" x14ac:dyDescent="0.3">
      <c r="A50" s="4" t="s">
        <v>48</v>
      </c>
      <c r="B50" s="1">
        <v>2986425.21</v>
      </c>
      <c r="C50" s="1">
        <v>2986425.21</v>
      </c>
    </row>
    <row r="51" spans="1:4" x14ac:dyDescent="0.3">
      <c r="A51" s="4" t="s">
        <v>2</v>
      </c>
      <c r="B51" s="1">
        <v>8290886.7899999991</v>
      </c>
      <c r="C51" s="1">
        <v>8290886.7899999991</v>
      </c>
    </row>
    <row r="54" spans="1:4" x14ac:dyDescent="0.3">
      <c r="A54" s="4" t="s">
        <v>67</v>
      </c>
    </row>
    <row r="55" spans="1:4" x14ac:dyDescent="0.3">
      <c r="A55" s="3" t="s">
        <v>66</v>
      </c>
      <c r="B55" t="s">
        <v>27</v>
      </c>
      <c r="C55" t="s">
        <v>27</v>
      </c>
      <c r="D55" s="2" t="s">
        <v>68</v>
      </c>
    </row>
    <row r="56" spans="1:4" x14ac:dyDescent="0.3">
      <c r="A56" s="4" t="s">
        <v>58</v>
      </c>
      <c r="B56" s="1">
        <v>131279.95000000004</v>
      </c>
      <c r="C56" s="1">
        <v>8290886.7899999991</v>
      </c>
      <c r="D56" s="9">
        <f>SUM(B56:B65)/GETPIVOTDATA("[Measures].[Total Revenue]",$C$55)</f>
        <v>0.29473418488204928</v>
      </c>
    </row>
    <row r="57" spans="1:4" x14ac:dyDescent="0.3">
      <c r="A57" s="4" t="s">
        <v>64</v>
      </c>
      <c r="B57" s="1">
        <v>133223.38</v>
      </c>
    </row>
    <row r="58" spans="1:4" x14ac:dyDescent="0.3">
      <c r="A58" s="4" t="s">
        <v>65</v>
      </c>
      <c r="B58" s="1">
        <v>136383.03999999995</v>
      </c>
    </row>
    <row r="59" spans="1:4" x14ac:dyDescent="0.3">
      <c r="A59" s="4" t="s">
        <v>57</v>
      </c>
      <c r="B59" s="1">
        <v>136873.24999999994</v>
      </c>
    </row>
    <row r="60" spans="1:4" x14ac:dyDescent="0.3">
      <c r="A60" s="4" t="s">
        <v>61</v>
      </c>
      <c r="B60" s="1">
        <v>138798.17000000001</v>
      </c>
    </row>
    <row r="61" spans="1:4" x14ac:dyDescent="0.3">
      <c r="A61" s="4" t="s">
        <v>63</v>
      </c>
      <c r="B61" s="1">
        <v>151782.03999999998</v>
      </c>
    </row>
    <row r="62" spans="1:4" x14ac:dyDescent="0.3">
      <c r="A62" s="4" t="s">
        <v>60</v>
      </c>
      <c r="B62" s="1">
        <v>153909.82000000004</v>
      </c>
    </row>
    <row r="63" spans="1:4" x14ac:dyDescent="0.3">
      <c r="A63" s="4" t="s">
        <v>56</v>
      </c>
      <c r="B63" s="1">
        <v>164575.87000000008</v>
      </c>
    </row>
    <row r="64" spans="1:4" x14ac:dyDescent="0.3">
      <c r="A64" s="4" t="s">
        <v>62</v>
      </c>
      <c r="B64" s="1">
        <v>530587.18999999994</v>
      </c>
    </row>
    <row r="65" spans="1:7" x14ac:dyDescent="0.3">
      <c r="A65" s="4" t="s">
        <v>59</v>
      </c>
      <c r="B65" s="1">
        <v>766195.04999999981</v>
      </c>
    </row>
    <row r="66" spans="1:7" x14ac:dyDescent="0.3">
      <c r="A66" s="4" t="s">
        <v>2</v>
      </c>
      <c r="B66" s="1">
        <v>2443607.7599999998</v>
      </c>
    </row>
    <row r="69" spans="1:7" x14ac:dyDescent="0.3">
      <c r="A69" s="3" t="s">
        <v>1</v>
      </c>
      <c r="B69" t="s">
        <v>69</v>
      </c>
    </row>
    <row r="70" spans="1:7" x14ac:dyDescent="0.3">
      <c r="A70" s="4" t="s">
        <v>55</v>
      </c>
      <c r="B70" s="10">
        <v>0.92263821454167383</v>
      </c>
      <c r="G70" s="9"/>
    </row>
    <row r="71" spans="1:7" x14ac:dyDescent="0.3">
      <c r="A71" s="4" t="s">
        <v>50</v>
      </c>
      <c r="B71" s="10">
        <v>2.0571936164413981E-2</v>
      </c>
      <c r="G71" s="9"/>
    </row>
    <row r="72" spans="1:7" x14ac:dyDescent="0.3">
      <c r="A72" s="4" t="s">
        <v>53</v>
      </c>
      <c r="B72" s="10">
        <v>1.8966961753156954E-2</v>
      </c>
      <c r="G72" s="9"/>
    </row>
    <row r="73" spans="1:7" x14ac:dyDescent="0.3">
      <c r="A73" s="4" t="s">
        <v>54</v>
      </c>
      <c r="B73" s="10">
        <v>1.6756336620670859E-2</v>
      </c>
      <c r="G73" s="9"/>
    </row>
    <row r="74" spans="1:7" x14ac:dyDescent="0.3">
      <c r="A74" s="4" t="s">
        <v>52</v>
      </c>
      <c r="B74" s="10">
        <v>1.5040326243855168E-2</v>
      </c>
      <c r="G74" s="9"/>
    </row>
    <row r="75" spans="1:7" x14ac:dyDescent="0.3">
      <c r="A75" s="4" t="s">
        <v>51</v>
      </c>
      <c r="B75" s="10">
        <v>6.0262246762292186E-3</v>
      </c>
      <c r="G75" s="9"/>
    </row>
    <row r="76" spans="1:7" x14ac:dyDescent="0.3">
      <c r="A76" s="4" t="s">
        <v>2</v>
      </c>
      <c r="B76" s="10">
        <v>1</v>
      </c>
    </row>
    <row r="81" spans="1:6" x14ac:dyDescent="0.3">
      <c r="A81" s="3" t="s">
        <v>70</v>
      </c>
      <c r="B81" t="s">
        <v>0</v>
      </c>
    </row>
    <row r="82" spans="1:6" x14ac:dyDescent="0.3">
      <c r="A82" s="4">
        <v>2003</v>
      </c>
      <c r="F82" s="11"/>
    </row>
    <row r="83" spans="1:6" x14ac:dyDescent="0.3">
      <c r="A83" s="5" t="s">
        <v>7</v>
      </c>
      <c r="B83" s="1">
        <v>107885.96</v>
      </c>
      <c r="F83" s="11"/>
    </row>
    <row r="84" spans="1:6" x14ac:dyDescent="0.3">
      <c r="A84" s="5" t="s">
        <v>6</v>
      </c>
      <c r="B84" s="1">
        <v>120036.8</v>
      </c>
      <c r="F84" s="11"/>
    </row>
    <row r="85" spans="1:6" x14ac:dyDescent="0.3">
      <c r="A85" s="5" t="s">
        <v>10</v>
      </c>
      <c r="B85" s="1">
        <v>144096.22999999995</v>
      </c>
      <c r="F85" s="11"/>
    </row>
    <row r="86" spans="1:6" x14ac:dyDescent="0.3">
      <c r="A86" s="5" t="s">
        <v>3</v>
      </c>
      <c r="B86" s="1">
        <v>169421.03000000009</v>
      </c>
      <c r="F86" s="11"/>
    </row>
    <row r="87" spans="1:6" x14ac:dyDescent="0.3">
      <c r="A87" s="5" t="s">
        <v>11</v>
      </c>
      <c r="B87" s="1">
        <v>163654.11999999994</v>
      </c>
      <c r="F87" s="11"/>
    </row>
    <row r="88" spans="1:6" x14ac:dyDescent="0.3">
      <c r="A88" s="5" t="s">
        <v>9</v>
      </c>
      <c r="B88" s="1">
        <v>139552.84000000003</v>
      </c>
      <c r="F88" s="11"/>
    </row>
    <row r="89" spans="1:6" x14ac:dyDescent="0.3">
      <c r="A89" s="5" t="s">
        <v>8</v>
      </c>
      <c r="B89" s="1">
        <v>149869.72999999998</v>
      </c>
      <c r="F89" s="11"/>
    </row>
    <row r="90" spans="1:6" x14ac:dyDescent="0.3">
      <c r="A90" s="5" t="s">
        <v>4</v>
      </c>
      <c r="B90" s="1">
        <v>166026.32</v>
      </c>
      <c r="F90" s="11"/>
    </row>
    <row r="91" spans="1:6" x14ac:dyDescent="0.3">
      <c r="A91" s="5" t="s">
        <v>14</v>
      </c>
      <c r="B91" s="1">
        <v>211045.86000000002</v>
      </c>
      <c r="F91" s="11"/>
    </row>
    <row r="92" spans="1:6" x14ac:dyDescent="0.3">
      <c r="A92" s="5" t="s">
        <v>13</v>
      </c>
      <c r="B92" s="1">
        <v>466240.57</v>
      </c>
      <c r="F92" s="11"/>
    </row>
    <row r="93" spans="1:6" x14ac:dyDescent="0.3">
      <c r="A93" s="5" t="s">
        <v>12</v>
      </c>
      <c r="B93" s="1">
        <v>850203.27000000025</v>
      </c>
      <c r="F93" s="11"/>
    </row>
    <row r="94" spans="1:6" x14ac:dyDescent="0.3">
      <c r="A94" s="5" t="s">
        <v>5</v>
      </c>
      <c r="B94" s="1">
        <v>210117.21</v>
      </c>
      <c r="F94" s="11"/>
    </row>
    <row r="95" spans="1:6" x14ac:dyDescent="0.3">
      <c r="A95" s="4">
        <v>2004</v>
      </c>
      <c r="F95" s="11"/>
    </row>
    <row r="96" spans="1:6" x14ac:dyDescent="0.3">
      <c r="A96" s="5" t="s">
        <v>7</v>
      </c>
      <c r="B96" s="1">
        <v>268015.86999999982</v>
      </c>
      <c r="F96" s="11"/>
    </row>
    <row r="97" spans="1:6" x14ac:dyDescent="0.3">
      <c r="A97" s="5" t="s">
        <v>6</v>
      </c>
      <c r="B97" s="1">
        <v>258389.05000000002</v>
      </c>
      <c r="F97" s="11"/>
    </row>
    <row r="98" spans="1:6" x14ac:dyDescent="0.3">
      <c r="A98" s="5" t="s">
        <v>10</v>
      </c>
      <c r="B98" s="1">
        <v>166958.55999999997</v>
      </c>
      <c r="F98" s="11"/>
    </row>
    <row r="99" spans="1:6" x14ac:dyDescent="0.3">
      <c r="A99" s="5" t="s">
        <v>3</v>
      </c>
      <c r="B99" s="1">
        <v>172935.80000000002</v>
      </c>
      <c r="F99" s="11"/>
    </row>
    <row r="100" spans="1:6" x14ac:dyDescent="0.3">
      <c r="A100" s="5" t="s">
        <v>11</v>
      </c>
      <c r="B100" s="1">
        <v>220815.13999999996</v>
      </c>
      <c r="F100" s="11"/>
    </row>
    <row r="101" spans="1:6" x14ac:dyDescent="0.3">
      <c r="A101" s="5" t="s">
        <v>9</v>
      </c>
      <c r="B101" s="1">
        <v>245190.75</v>
      </c>
      <c r="F101" s="11"/>
    </row>
    <row r="102" spans="1:6" x14ac:dyDescent="0.3">
      <c r="A102" s="5" t="s">
        <v>8</v>
      </c>
      <c r="B102" s="1">
        <v>271103.61000000004</v>
      </c>
      <c r="F102" s="11"/>
    </row>
    <row r="103" spans="1:6" x14ac:dyDescent="0.3">
      <c r="A103" s="5" t="s">
        <v>4</v>
      </c>
      <c r="B103" s="1">
        <v>386106.58999999997</v>
      </c>
      <c r="F103" s="11"/>
    </row>
    <row r="104" spans="1:6" x14ac:dyDescent="0.3">
      <c r="A104" s="5" t="s">
        <v>14</v>
      </c>
      <c r="B104" s="1">
        <v>263854.26000000007</v>
      </c>
      <c r="F104" s="11"/>
    </row>
    <row r="105" spans="1:6" x14ac:dyDescent="0.3">
      <c r="A105" s="5" t="s">
        <v>13</v>
      </c>
      <c r="B105" s="1">
        <v>452796.13000000006</v>
      </c>
      <c r="F105" s="11"/>
    </row>
    <row r="106" spans="1:6" x14ac:dyDescent="0.3">
      <c r="A106" s="5" t="s">
        <v>12</v>
      </c>
      <c r="B106" s="1">
        <v>894479.1800000004</v>
      </c>
      <c r="F106" s="11"/>
    </row>
    <row r="107" spans="1:6" x14ac:dyDescent="0.3">
      <c r="A107" s="5" t="s">
        <v>5</v>
      </c>
      <c r="B107" s="1">
        <v>313055.93000000011</v>
      </c>
      <c r="F107" s="11"/>
    </row>
    <row r="108" spans="1:6" x14ac:dyDescent="0.3">
      <c r="A108" s="4">
        <v>2005</v>
      </c>
      <c r="F108" s="11"/>
    </row>
    <row r="109" spans="1:6" x14ac:dyDescent="0.3">
      <c r="A109" s="5" t="s">
        <v>7</v>
      </c>
      <c r="B109" s="1">
        <v>283680.46000000008</v>
      </c>
      <c r="F109" s="11"/>
    </row>
    <row r="110" spans="1:6" x14ac:dyDescent="0.3">
      <c r="A110" s="5" t="s">
        <v>6</v>
      </c>
      <c r="B110" s="1">
        <v>289902.30000000005</v>
      </c>
      <c r="F110" s="11"/>
    </row>
    <row r="111" spans="1:6" x14ac:dyDescent="0.3">
      <c r="A111" s="5" t="s">
        <v>10</v>
      </c>
      <c r="B111" s="1">
        <v>315131.94</v>
      </c>
      <c r="F111" s="11"/>
    </row>
    <row r="112" spans="1:6" x14ac:dyDescent="0.3">
      <c r="A112" s="5" t="s">
        <v>3</v>
      </c>
      <c r="B112" s="1">
        <v>217977.63000000006</v>
      </c>
      <c r="F112" s="11"/>
    </row>
    <row r="113" spans="1:6" x14ac:dyDescent="0.3">
      <c r="A113" s="5" t="s">
        <v>11</v>
      </c>
      <c r="B113" s="1">
        <v>372343.64999999985</v>
      </c>
      <c r="F113" s="11"/>
    </row>
    <row r="114" spans="1:6" x14ac:dyDescent="0.3">
      <c r="A114" s="4" t="s">
        <v>2</v>
      </c>
      <c r="B114" s="1">
        <v>8290886.7899999991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AE0E-E76C-4B61-B5D9-E14ECC37C724}">
  <dimension ref="B4:O20"/>
  <sheetViews>
    <sheetView showGridLines="0" workbookViewId="0">
      <selection activeCell="H25" sqref="H25"/>
    </sheetView>
  </sheetViews>
  <sheetFormatPr defaultRowHeight="14.4" x14ac:dyDescent="0.3"/>
  <cols>
    <col min="2" max="2" width="19.5546875" bestFit="1" customWidth="1"/>
    <col min="3" max="3" width="12.44140625" bestFit="1" customWidth="1"/>
    <col min="4" max="4" width="10.109375" bestFit="1" customWidth="1"/>
    <col min="5" max="5" width="9.88671875" bestFit="1" customWidth="1"/>
    <col min="6" max="6" width="6.5546875" bestFit="1" customWidth="1"/>
    <col min="7" max="7" width="12.88671875" bestFit="1" customWidth="1"/>
    <col min="8" max="8" width="7.77734375" customWidth="1"/>
    <col min="9" max="9" width="10.5546875" bestFit="1" customWidth="1"/>
    <col min="10" max="10" width="12.44140625" bestFit="1" customWidth="1"/>
    <col min="11" max="11" width="10.109375" bestFit="1" customWidth="1"/>
    <col min="12" max="12" width="11.44140625" bestFit="1" customWidth="1"/>
    <col min="13" max="13" width="6.5546875" bestFit="1" customWidth="1"/>
    <col min="14" max="14" width="12.21875" bestFit="1" customWidth="1"/>
    <col min="17" max="17" width="10.5546875" bestFit="1" customWidth="1"/>
    <col min="18" max="18" width="12.44140625" bestFit="1" customWidth="1"/>
    <col min="19" max="19" width="10.109375" bestFit="1" customWidth="1"/>
    <col min="20" max="20" width="11.44140625" bestFit="1" customWidth="1"/>
    <col min="21" max="21" width="6.5546875" bestFit="1" customWidth="1"/>
  </cols>
  <sheetData>
    <row r="4" spans="2:15" ht="15.6" x14ac:dyDescent="0.3">
      <c r="B4" s="16" t="s">
        <v>74</v>
      </c>
      <c r="C4" s="16"/>
      <c r="D4" s="16"/>
      <c r="E4" s="16"/>
      <c r="F4" s="16"/>
      <c r="G4" s="16"/>
      <c r="H4" s="16"/>
      <c r="I4" s="16"/>
      <c r="J4" s="16"/>
      <c r="K4" s="16"/>
      <c r="L4" s="16"/>
      <c r="M4" s="16"/>
      <c r="N4" s="16"/>
      <c r="O4" s="15"/>
    </row>
    <row r="6" spans="2:15" x14ac:dyDescent="0.3">
      <c r="B6" s="3" t="s">
        <v>70</v>
      </c>
      <c r="C6" s="13" t="s">
        <v>0</v>
      </c>
      <c r="D6" s="13" t="s">
        <v>26</v>
      </c>
      <c r="E6" s="13" t="s">
        <v>28</v>
      </c>
      <c r="F6" s="13" t="s">
        <v>29</v>
      </c>
      <c r="I6" s="3" t="s">
        <v>70</v>
      </c>
      <c r="J6" s="13" t="s">
        <v>0</v>
      </c>
      <c r="K6" t="s">
        <v>26</v>
      </c>
      <c r="L6" t="s">
        <v>28</v>
      </c>
      <c r="M6" t="s">
        <v>29</v>
      </c>
    </row>
    <row r="7" spans="2:15" x14ac:dyDescent="0.3">
      <c r="B7" s="4">
        <v>2004</v>
      </c>
      <c r="H7" s="17"/>
      <c r="I7" s="4">
        <v>2003</v>
      </c>
      <c r="J7" s="1">
        <v>2898149.9400000013</v>
      </c>
      <c r="K7" s="1">
        <v>1371588.8900000001</v>
      </c>
      <c r="L7" s="1">
        <v>1526561.0500000012</v>
      </c>
      <c r="M7" s="7">
        <v>1.1129873252327096</v>
      </c>
      <c r="N7" s="17"/>
    </row>
    <row r="8" spans="2:15" x14ac:dyDescent="0.3">
      <c r="B8" s="5" t="s">
        <v>15</v>
      </c>
      <c r="C8" s="1">
        <v>693363.48000000033</v>
      </c>
      <c r="D8" s="1">
        <v>1526561.0499999993</v>
      </c>
      <c r="E8" s="1">
        <v>-833197.56999999902</v>
      </c>
      <c r="F8" s="7">
        <v>-0.54580035957291018</v>
      </c>
      <c r="H8" s="17"/>
      <c r="I8" s="4">
        <v>2004</v>
      </c>
      <c r="J8" s="18"/>
      <c r="K8" s="18"/>
      <c r="L8" s="18"/>
      <c r="M8" s="18"/>
      <c r="N8" s="17"/>
    </row>
    <row r="9" spans="2:15" x14ac:dyDescent="0.3">
      <c r="B9" s="5" t="s">
        <v>16</v>
      </c>
      <c r="C9" s="1">
        <v>638941.69000000006</v>
      </c>
      <c r="D9" s="1">
        <v>693363.48</v>
      </c>
      <c r="E9" s="1">
        <v>-54421.789999999921</v>
      </c>
      <c r="F9" s="7">
        <v>-7.8489553559988365E-2</v>
      </c>
      <c r="H9" s="17"/>
      <c r="I9" s="5" t="s">
        <v>15</v>
      </c>
      <c r="J9" s="18"/>
      <c r="K9" s="18"/>
      <c r="L9" s="18"/>
      <c r="M9" s="18"/>
      <c r="N9" s="17"/>
    </row>
    <row r="10" spans="2:15" x14ac:dyDescent="0.3">
      <c r="B10" s="5" t="s">
        <v>17</v>
      </c>
      <c r="C10" s="1">
        <v>921064.4600000002</v>
      </c>
      <c r="D10" s="1">
        <v>638941.68999999994</v>
      </c>
      <c r="E10" s="1">
        <v>282122.77000000025</v>
      </c>
      <c r="F10" s="7">
        <v>0.44154697434127405</v>
      </c>
      <c r="H10" s="17"/>
      <c r="I10" s="6" t="s">
        <v>7</v>
      </c>
      <c r="J10" s="1">
        <v>268015.86999999982</v>
      </c>
      <c r="K10" s="1">
        <v>466240.56999999995</v>
      </c>
      <c r="L10" s="1">
        <v>-198224.70000000013</v>
      </c>
      <c r="M10" s="7">
        <v>-0.42515540850509886</v>
      </c>
      <c r="N10" s="17"/>
    </row>
    <row r="11" spans="2:15" x14ac:dyDescent="0.3">
      <c r="B11" s="5" t="s">
        <v>18</v>
      </c>
      <c r="H11" s="17"/>
      <c r="I11" s="6" t="s">
        <v>6</v>
      </c>
      <c r="J11" s="1">
        <v>258389.05000000002</v>
      </c>
      <c r="K11" s="1">
        <v>850203.27</v>
      </c>
      <c r="L11" s="1">
        <v>-591814.22</v>
      </c>
      <c r="M11" s="7">
        <v>-0.69608556080947559</v>
      </c>
      <c r="N11" s="17"/>
    </row>
    <row r="12" spans="2:15" x14ac:dyDescent="0.3">
      <c r="B12" s="6" t="s">
        <v>25</v>
      </c>
      <c r="C12" s="1">
        <v>359317.22000000026</v>
      </c>
      <c r="D12" s="1">
        <v>169702.00000000003</v>
      </c>
      <c r="E12" s="1">
        <v>189615.22000000023</v>
      </c>
      <c r="F12" s="7">
        <v>1.1173422823537742</v>
      </c>
      <c r="H12" s="17"/>
      <c r="I12" s="6" t="s">
        <v>10</v>
      </c>
      <c r="J12" s="1">
        <v>166958.55999999997</v>
      </c>
      <c r="K12" s="1">
        <v>210117.21</v>
      </c>
      <c r="L12" s="1">
        <v>-43158.650000000023</v>
      </c>
      <c r="M12" s="7">
        <v>-0.20540273688195282</v>
      </c>
      <c r="N12" s="17"/>
    </row>
    <row r="13" spans="2:15" x14ac:dyDescent="0.3">
      <c r="B13" s="6" t="s">
        <v>24</v>
      </c>
      <c r="C13" s="1">
        <v>207696.96</v>
      </c>
      <c r="D13" s="1">
        <v>101457.65999999999</v>
      </c>
      <c r="E13" s="1">
        <v>106239.3</v>
      </c>
      <c r="F13" s="7">
        <v>1.0471294133927396</v>
      </c>
      <c r="H13" s="17"/>
      <c r="I13" s="5" t="s">
        <v>16</v>
      </c>
      <c r="J13" s="18"/>
      <c r="K13" s="18"/>
      <c r="L13" s="18"/>
      <c r="M13" s="18"/>
      <c r="N13" s="17"/>
    </row>
    <row r="14" spans="2:15" x14ac:dyDescent="0.3">
      <c r="B14" s="6" t="s">
        <v>21</v>
      </c>
      <c r="C14" s="1">
        <v>201107.7</v>
      </c>
      <c r="D14" s="1">
        <v>98448.16</v>
      </c>
      <c r="E14" s="1">
        <v>102659.54000000001</v>
      </c>
      <c r="F14" s="7">
        <v>1.042777640536908</v>
      </c>
      <c r="I14" s="6" t="s">
        <v>3</v>
      </c>
      <c r="J14" s="1">
        <v>172935.80000000002</v>
      </c>
      <c r="K14" s="1">
        <v>268015.87</v>
      </c>
      <c r="L14" s="1">
        <v>-95080.069999999978</v>
      </c>
      <c r="M14" s="7">
        <v>-0.35475537325457623</v>
      </c>
    </row>
    <row r="15" spans="2:15" x14ac:dyDescent="0.3">
      <c r="B15" s="6" t="s">
        <v>23</v>
      </c>
      <c r="C15" s="1">
        <v>46965.57</v>
      </c>
      <c r="D15" s="1">
        <v>24496.950000000004</v>
      </c>
      <c r="E15" s="1">
        <v>22468.619999999995</v>
      </c>
      <c r="F15" s="7">
        <v>0.91720071274178994</v>
      </c>
      <c r="I15" s="6" t="s">
        <v>11</v>
      </c>
      <c r="J15" s="1">
        <v>220815.13999999996</v>
      </c>
      <c r="K15" s="1">
        <v>258389.05000000002</v>
      </c>
      <c r="L15" s="1">
        <v>-37573.910000000062</v>
      </c>
      <c r="M15" s="7">
        <v>-0.14541603059417596</v>
      </c>
    </row>
    <row r="16" spans="2:15" x14ac:dyDescent="0.3">
      <c r="B16" s="6" t="s">
        <v>22</v>
      </c>
      <c r="C16" s="1">
        <v>127102.36000000002</v>
      </c>
      <c r="D16" s="1">
        <v>71024.039999999994</v>
      </c>
      <c r="E16" s="1">
        <v>56078.320000000022</v>
      </c>
      <c r="F16" s="7">
        <v>0.78956815185393603</v>
      </c>
      <c r="I16" s="6" t="s">
        <v>9</v>
      </c>
      <c r="J16" s="1">
        <v>245190.75</v>
      </c>
      <c r="K16" s="1">
        <v>166958.56000000003</v>
      </c>
      <c r="L16" s="1">
        <v>78232.189999999973</v>
      </c>
      <c r="M16" s="7">
        <v>0.46857250086488506</v>
      </c>
    </row>
    <row r="17" spans="2:13" x14ac:dyDescent="0.3">
      <c r="B17" s="6" t="s">
        <v>20</v>
      </c>
      <c r="C17" s="1">
        <v>174295.83</v>
      </c>
      <c r="D17" s="1">
        <v>107767.74999999999</v>
      </c>
      <c r="E17" s="1">
        <v>66528.08</v>
      </c>
      <c r="F17" s="7">
        <v>0.61732828234791959</v>
      </c>
      <c r="I17" s="5" t="s">
        <v>17</v>
      </c>
      <c r="J17" s="1">
        <v>921064.4600000002</v>
      </c>
      <c r="K17" s="1">
        <v>638941.68999999994</v>
      </c>
      <c r="L17" s="1">
        <v>282122.77000000025</v>
      </c>
      <c r="M17" s="7">
        <v>0.44154697434127405</v>
      </c>
    </row>
    <row r="18" spans="2:13" x14ac:dyDescent="0.3">
      <c r="B18" s="6" t="s">
        <v>19</v>
      </c>
      <c r="C18" s="1">
        <v>543845.59999999986</v>
      </c>
      <c r="D18" s="1">
        <v>348167.89999999997</v>
      </c>
      <c r="E18" s="1">
        <v>195677.6999999999</v>
      </c>
      <c r="F18" s="7">
        <v>0.56202108235710391</v>
      </c>
      <c r="I18" s="5" t="s">
        <v>18</v>
      </c>
      <c r="J18" s="1">
        <v>1660331.2399999993</v>
      </c>
      <c r="K18" s="1">
        <v>921064.46</v>
      </c>
      <c r="L18" s="1">
        <v>739266.77999999933</v>
      </c>
      <c r="M18" s="7">
        <v>0.80262219649643129</v>
      </c>
    </row>
    <row r="19" spans="2:13" x14ac:dyDescent="0.3">
      <c r="B19" s="4" t="s">
        <v>2</v>
      </c>
      <c r="C19" s="1">
        <v>3913700.8699999978</v>
      </c>
      <c r="D19" s="1">
        <v>3779930.68</v>
      </c>
      <c r="E19" s="1">
        <v>133770.18999999762</v>
      </c>
      <c r="F19" s="7">
        <v>3.5389588149801102E-2</v>
      </c>
      <c r="I19" s="4">
        <v>2005</v>
      </c>
      <c r="J19" s="1">
        <v>1479035.9800000011</v>
      </c>
      <c r="K19" s="1">
        <v>3139367.2199999988</v>
      </c>
      <c r="L19" s="1">
        <v>-1660331.2399999977</v>
      </c>
      <c r="M19" s="7">
        <v>-0.52887449082812243</v>
      </c>
    </row>
    <row r="20" spans="2:13" x14ac:dyDescent="0.3">
      <c r="I20" s="4" t="s">
        <v>2</v>
      </c>
      <c r="J20" s="1">
        <v>8290886.7899999991</v>
      </c>
      <c r="K20" s="1">
        <v>8290886.7899999991</v>
      </c>
      <c r="L20" s="1">
        <v>0</v>
      </c>
      <c r="M20" s="7">
        <v>0</v>
      </c>
    </row>
  </sheetData>
  <mergeCells count="1">
    <mergeCell ref="B4:N4"/>
  </mergeCells>
  <conditionalFormatting pivot="1" sqref="M10:M12 M14:M16">
    <cfRule type="colorScale" priority="2">
      <colorScale>
        <cfvo type="min"/>
        <cfvo type="max"/>
        <color rgb="FFFCFCFF"/>
        <color rgb="FF63BE7B"/>
      </colorScale>
    </cfRule>
  </conditionalFormatting>
  <conditionalFormatting pivot="1" sqref="F12:F18">
    <cfRule type="colorScale" priority="1">
      <colorScale>
        <cfvo type="min"/>
        <cfvo type="max"/>
        <color rgb="FFFCFCFF"/>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FCA2B-E92E-4BCD-856A-FB6FF81F3DA5}">
  <dimension ref="A1"/>
  <sheetViews>
    <sheetView showGridLines="0" showRowColHeaders="0" tabSelected="1" zoomScaleNormal="100" workbookViewId="0">
      <selection activeCell="H50" sqref="H50"/>
      <extLst>
        <ext xmlns:xlsdti="http://schemas.microsoft.com/office/spreadsheetml/2023/showDataTypeIcons" uri="{77bfe23e-c014-4d31-8a63-9c772dbf06b6}">
          <xlsdti:showDataTypeIcons visible="0"/>
        </ext>
      </extLst>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BCA88F49-C00F-4D1B-B3DD-4CC5BFD34FFA}">
  <ds:schemaRefs/>
</ds:datastoreItem>
</file>

<file path=customXml/itemProps2.xml><?xml version="1.0" encoding="utf-8"?>
<ds:datastoreItem xmlns:ds="http://schemas.openxmlformats.org/officeDocument/2006/customXml" ds:itemID="{03EECD80-1C15-45A4-B8C6-4EC2328A468F}">
  <ds:schemaRefs/>
</ds:datastoreItem>
</file>

<file path=customXml/itemProps3.xml><?xml version="1.0" encoding="utf-8"?>
<ds:datastoreItem xmlns:ds="http://schemas.openxmlformats.org/officeDocument/2006/customXml" ds:itemID="{2B92E58D-F7FE-4FB2-B6C3-B98B31817620}">
  <ds:schemaRefs>
    <ds:schemaRef ds:uri="http://schemas.microsoft.com/DataMashup"/>
  </ds:schemaRefs>
</ds:datastoreItem>
</file>

<file path=customXml/itemProps4.xml><?xml version="1.0" encoding="utf-8"?>
<ds:datastoreItem xmlns:ds="http://schemas.openxmlformats.org/officeDocument/2006/customXml" ds:itemID="{451592BE-BA77-4369-BBD4-5D7C5044C069}">
  <ds:schemaRefs/>
</ds:datastoreItem>
</file>

<file path=customXml/itemProps5.xml><?xml version="1.0" encoding="utf-8"?>
<ds:datastoreItem xmlns:ds="http://schemas.openxmlformats.org/officeDocument/2006/customXml" ds:itemID="{E1FA06F7-ECB6-4970-8B95-A8848DD7E23E}">
  <ds:schemaRefs/>
</ds:datastoreItem>
</file>

<file path=customXml/itemProps6.xml><?xml version="1.0" encoding="utf-8"?>
<ds:datastoreItem xmlns:ds="http://schemas.openxmlformats.org/officeDocument/2006/customXml" ds:itemID="{BF9DD908-B5CB-4B4E-AEF3-BB3DC0C2C4EC}">
  <ds:schemaRefs/>
</ds:datastoreItem>
</file>

<file path=customXml/itemProps7.xml><?xml version="1.0" encoding="utf-8"?>
<ds:datastoreItem xmlns:ds="http://schemas.openxmlformats.org/officeDocument/2006/customXml" ds:itemID="{47696014-9DE2-4690-BFFB-2680788F3699}">
  <ds:schemaRefs/>
</ds:datastoreItem>
</file>

<file path=customXml/itemProps8.xml><?xml version="1.0" encoding="utf-8"?>
<ds:datastoreItem xmlns:ds="http://schemas.openxmlformats.org/officeDocument/2006/customXml" ds:itemID="{302F8B64-06DE-4548-A3B6-097F860105E3}">
  <ds:schemaRefs/>
</ds:datastoreItem>
</file>

<file path=customXml/itemProps9.xml><?xml version="1.0" encoding="utf-8"?>
<ds:datastoreItem xmlns:ds="http://schemas.openxmlformats.org/officeDocument/2006/customXml" ds:itemID="{F208A810-5550-4EF3-B353-74A6539F6DBB}">
  <ds:schemaRefs/>
</ds:datastoreItem>
</file>

<file path=customXml/itemProps10.xml><?xml version="1.0" encoding="utf-8"?>
<ds:datastoreItem xmlns:ds="http://schemas.openxmlformats.org/officeDocument/2006/customXml" ds:itemID="{73C6BA08-DA1D-47AF-B0B5-B65A23EDB725}">
  <ds:schemaRefs/>
</ds:datastoreItem>
</file>

<file path=customXml/itemProps11.xml><?xml version="1.0" encoding="utf-8"?>
<ds:datastoreItem xmlns:ds="http://schemas.openxmlformats.org/officeDocument/2006/customXml" ds:itemID="{658A6DC8-DFD9-4008-AD17-30A43CE8C950}">
  <ds:schemaRefs/>
</ds:datastoreItem>
</file>

<file path=customXml/itemProps12.xml><?xml version="1.0" encoding="utf-8"?>
<ds:datastoreItem xmlns:ds="http://schemas.openxmlformats.org/officeDocument/2006/customXml" ds:itemID="{BE712E94-97C5-42ED-BEC5-E5125457BFD9}">
  <ds:schemaRefs/>
</ds:datastoreItem>
</file>

<file path=customXml/itemProps13.xml><?xml version="1.0" encoding="utf-8"?>
<ds:datastoreItem xmlns:ds="http://schemas.openxmlformats.org/officeDocument/2006/customXml" ds:itemID="{6D7BE915-CA40-4F3B-9F86-AE03045B263F}">
  <ds:schemaRefs/>
</ds:datastoreItem>
</file>

<file path=customXml/itemProps14.xml><?xml version="1.0" encoding="utf-8"?>
<ds:datastoreItem xmlns:ds="http://schemas.openxmlformats.org/officeDocument/2006/customXml" ds:itemID="{4B20AC94-031B-4AF9-828D-DB3F9EA803DF}">
  <ds:schemaRefs/>
</ds:datastoreItem>
</file>

<file path=customXml/itemProps15.xml><?xml version="1.0" encoding="utf-8"?>
<ds:datastoreItem xmlns:ds="http://schemas.openxmlformats.org/officeDocument/2006/customXml" ds:itemID="{336886E6-1B40-4F52-A644-0DB6C9ADC7E0}">
  <ds:schemaRefs/>
</ds:datastoreItem>
</file>

<file path=customXml/itemProps16.xml><?xml version="1.0" encoding="utf-8"?>
<ds:datastoreItem xmlns:ds="http://schemas.openxmlformats.org/officeDocument/2006/customXml" ds:itemID="{EAE49C80-B100-4A12-AF71-726B5CB5CF9E}">
  <ds:schemaRefs/>
</ds:datastoreItem>
</file>

<file path=customXml/itemProps17.xml><?xml version="1.0" encoding="utf-8"?>
<ds:datastoreItem xmlns:ds="http://schemas.openxmlformats.org/officeDocument/2006/customXml" ds:itemID="{B1E1E2DA-ABA6-4F4C-A03A-F0541D3BA133}">
  <ds:schemaRefs/>
</ds:datastoreItem>
</file>

<file path=customXml/itemProps18.xml><?xml version="1.0" encoding="utf-8"?>
<ds:datastoreItem xmlns:ds="http://schemas.openxmlformats.org/officeDocument/2006/customXml" ds:itemID="{772E2BD2-4551-499D-8D8E-17E39FD86BAD}">
  <ds:schemaRefs/>
</ds:datastoreItem>
</file>

<file path=customXml/itemProps19.xml><?xml version="1.0" encoding="utf-8"?>
<ds:datastoreItem xmlns:ds="http://schemas.openxmlformats.org/officeDocument/2006/customXml" ds:itemID="{CE98A72E-98A8-4948-B2E0-63949171AA9F}">
  <ds:schemaRefs/>
</ds:datastoreItem>
</file>

<file path=customXml/itemProps20.xml><?xml version="1.0" encoding="utf-8"?>
<ds:datastoreItem xmlns:ds="http://schemas.openxmlformats.org/officeDocument/2006/customXml" ds:itemID="{C81484EE-691B-4B31-9403-DC1162DE5154}">
  <ds:schemaRefs/>
</ds:datastoreItem>
</file>

<file path=customXml/itemProps21.xml><?xml version="1.0" encoding="utf-8"?>
<ds:datastoreItem xmlns:ds="http://schemas.openxmlformats.org/officeDocument/2006/customXml" ds:itemID="{08C18E8F-948A-4A49-9185-664DF91E93E7}">
  <ds:schemaRefs/>
</ds:datastoreItem>
</file>

<file path=customXml/itemProps22.xml><?xml version="1.0" encoding="utf-8"?>
<ds:datastoreItem xmlns:ds="http://schemas.openxmlformats.org/officeDocument/2006/customXml" ds:itemID="{1587E656-13BF-4F9B-AAFC-F4635C88A0A9}">
  <ds:schemaRefs/>
</ds:datastoreItem>
</file>

<file path=customXml/itemProps23.xml><?xml version="1.0" encoding="utf-8"?>
<ds:datastoreItem xmlns:ds="http://schemas.openxmlformats.org/officeDocument/2006/customXml" ds:itemID="{98DFBF85-6632-45A8-B882-D66EB1C9BDCF}">
  <ds:schemaRefs/>
</ds:datastoreItem>
</file>

<file path=customXml/itemProps24.xml><?xml version="1.0" encoding="utf-8"?>
<ds:datastoreItem xmlns:ds="http://schemas.openxmlformats.org/officeDocument/2006/customXml" ds:itemID="{D471E8F9-F52A-4417-B309-D4A74FB23790}">
  <ds:schemaRefs/>
</ds:datastoreItem>
</file>

<file path=customXml/itemProps25.xml><?xml version="1.0" encoding="utf-8"?>
<ds:datastoreItem xmlns:ds="http://schemas.openxmlformats.org/officeDocument/2006/customXml" ds:itemID="{57065B04-3550-47AE-B7B3-CA36ED00FF9E}">
  <ds:schemaRefs/>
</ds:datastoreItem>
</file>

<file path=customXml/itemProps26.xml><?xml version="1.0" encoding="utf-8"?>
<ds:datastoreItem xmlns:ds="http://schemas.openxmlformats.org/officeDocument/2006/customXml" ds:itemID="{340AE46D-F37F-43A9-8BA9-E32C56282FDC}">
  <ds:schemaRefs/>
</ds:datastoreItem>
</file>

<file path=customXml/itemProps27.xml><?xml version="1.0" encoding="utf-8"?>
<ds:datastoreItem xmlns:ds="http://schemas.openxmlformats.org/officeDocument/2006/customXml" ds:itemID="{33214CE5-09F4-420E-ADEE-899147483B72}">
  <ds:schemaRefs/>
</ds:datastoreItem>
</file>

<file path=customXml/itemProps28.xml><?xml version="1.0" encoding="utf-8"?>
<ds:datastoreItem xmlns:ds="http://schemas.openxmlformats.org/officeDocument/2006/customXml" ds:itemID="{64AC3098-456A-4924-8FE3-B3E83730A151}">
  <ds:schemaRefs/>
</ds:datastoreItem>
</file>

<file path=customXml/itemProps29.xml><?xml version="1.0" encoding="utf-8"?>
<ds:datastoreItem xmlns:ds="http://schemas.openxmlformats.org/officeDocument/2006/customXml" ds:itemID="{53B4DEC2-B2A8-45BC-A74F-45709BEB505B}">
  <ds:schemaRefs/>
</ds:datastoreItem>
</file>

<file path=customXml/itemProps30.xml><?xml version="1.0" encoding="utf-8"?>
<ds:datastoreItem xmlns:ds="http://schemas.openxmlformats.org/officeDocument/2006/customXml" ds:itemID="{C872FEC5-0D03-46D3-A8A1-2A41A0F29A19}">
  <ds:schemaRefs/>
</ds:datastoreItem>
</file>

<file path=customXml/itemProps31.xml><?xml version="1.0" encoding="utf-8"?>
<ds:datastoreItem xmlns:ds="http://schemas.openxmlformats.org/officeDocument/2006/customXml" ds:itemID="{DD36685D-5BC2-40BF-9A05-DFC79FC11AB9}">
  <ds:schemaRefs/>
</ds:datastoreItem>
</file>

<file path=customXml/itemProps32.xml><?xml version="1.0" encoding="utf-8"?>
<ds:datastoreItem xmlns:ds="http://schemas.openxmlformats.org/officeDocument/2006/customXml" ds:itemID="{F01A27BC-D00B-4400-9DE0-3D6414C0F796}">
  <ds:schemaRefs/>
</ds:datastoreItem>
</file>

<file path=customXml/itemProps33.xml><?xml version="1.0" encoding="utf-8"?>
<ds:datastoreItem xmlns:ds="http://schemas.openxmlformats.org/officeDocument/2006/customXml" ds:itemID="{641FE54F-CDCC-4137-BB7F-788500E6DD7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Yousef S159091</dc:creator>
  <cp:lastModifiedBy>Yousef S159091</cp:lastModifiedBy>
  <dcterms:created xsi:type="dcterms:W3CDTF">2025-11-23T10:07:02Z</dcterms:created>
  <dcterms:modified xsi:type="dcterms:W3CDTF">2025-11-26T19:39:07Z</dcterms:modified>
</cp:coreProperties>
</file>